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_KPI" sheetId="1" state="visible" r:id="rId3"/>
    <sheet name="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<sst xmlns="http://schemas.openxmlformats.org/spreadsheetml/2006/main" count="171" uniqueCount="160">
  <si>
    <r>
      <rPr>
        <b val="true"/>
        <sz val="14"/>
        <rFont val="Noto Sans CJK SC"/>
        <family val="2"/>
      </rPr>
      <t xml:space="preserve">支店</t>
    </r>
    <r>
      <rPr>
        <b val="true"/>
        <sz val="14"/>
        <rFont val="Arial"/>
        <family val="0"/>
        <charset val="1"/>
      </rPr>
      <t xml:space="preserve">KPI</t>
    </r>
    <r>
      <rPr>
        <b val="true"/>
        <sz val="14"/>
        <rFont val="Noto Sans CJK SC"/>
        <family val="2"/>
      </rPr>
      <t xml:space="preserve">月報 ／ 지점 </t>
    </r>
    <r>
      <rPr>
        <b val="true"/>
        <sz val="14"/>
        <rFont val="Arial"/>
        <family val="0"/>
        <charset val="1"/>
      </rPr>
      <t xml:space="preserve">KPI </t>
    </r>
    <r>
      <rPr>
        <b val="true"/>
        <sz val="14"/>
        <rFont val="Noto Sans CJK SC"/>
        <family val="2"/>
      </rPr>
      <t xml:space="preserve">월간 보고 ／ </t>
    </r>
    <r>
      <rPr>
        <b val="true"/>
        <sz val="14"/>
        <rFont val="Arial"/>
        <family val="0"/>
        <charset val="1"/>
      </rPr>
      <t xml:space="preserve">Station Monthly KPI Report</t>
    </r>
  </si>
  <si>
    <r>
      <rPr>
        <b val="true"/>
        <sz val="10"/>
        <rFont val="Noto Sans CJK SC"/>
        <family val="2"/>
      </rPr>
      <t xml:space="preserve">支店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지점 </t>
    </r>
    <r>
      <rPr>
        <b val="true"/>
        <sz val="10"/>
        <rFont val="Arial"/>
        <family val="0"/>
        <charset val="1"/>
      </rPr>
      <t xml:space="preserve">/ Station</t>
    </r>
  </si>
  <si>
    <r>
      <rPr>
        <sz val="10"/>
        <color rgb="FF0000FF"/>
        <rFont val="Arial"/>
        <family val="0"/>
        <charset val="1"/>
      </rPr>
      <t xml:space="preserve">NRT</t>
    </r>
    <r>
      <rPr>
        <sz val="10"/>
        <color rgb="FF0000FF"/>
        <rFont val="Noto Sans CJK SC"/>
        <family val="2"/>
      </rPr>
      <t xml:space="preserve">（例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예 </t>
    </r>
    <r>
      <rPr>
        <sz val="10"/>
        <color rgb="FF0000FF"/>
        <rFont val="Arial"/>
        <family val="0"/>
        <charset val="1"/>
      </rPr>
      <t xml:space="preserve">/ example</t>
    </r>
    <r>
      <rPr>
        <sz val="10"/>
        <color rgb="FF0000FF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</si>
  <si>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対象月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대상 월 </t>
    </r>
    <r>
      <rPr>
        <b val="true"/>
        <sz val="10"/>
        <rFont val="Arial"/>
        <family val="0"/>
        <charset val="1"/>
      </rPr>
      <t xml:space="preserve">/ Month</t>
    </r>
  </si>
  <si>
    <t xml:space="preserve">2026-09</t>
  </si>
  <si>
    <r>
      <rPr>
        <i val="true"/>
        <sz val="9"/>
        <color rgb="FF5B6B7D"/>
        <rFont val="Noto Sans CJK SC"/>
        <family val="2"/>
      </rPr>
      <t xml:space="preserve">黄色のセル＝入力（青字）。白いセル＝自動計算。例の数字は架空です。／ 노란 칸</t>
    </r>
    <r>
      <rPr>
        <i val="true"/>
        <sz val="9"/>
        <color rgb="FF5B6B7D"/>
        <rFont val="Arial"/>
        <family val="0"/>
        <charset val="1"/>
      </rPr>
      <t xml:space="preserve">=</t>
    </r>
    <r>
      <rPr>
        <i val="true"/>
        <sz val="9"/>
        <color rgb="FF5B6B7D"/>
        <rFont val="Noto Sans CJK SC"/>
        <family val="2"/>
      </rPr>
      <t xml:space="preserve">입력</t>
    </r>
    <r>
      <rPr>
        <i val="true"/>
        <sz val="9"/>
        <color rgb="FF5B6B7D"/>
        <rFont val="Arial"/>
        <family val="0"/>
        <charset val="1"/>
      </rPr>
      <t xml:space="preserve">(</t>
    </r>
    <r>
      <rPr>
        <i val="true"/>
        <sz val="9"/>
        <color rgb="FF5B6B7D"/>
        <rFont val="Noto Sans CJK SC"/>
        <family val="2"/>
      </rPr>
      <t xml:space="preserve">파란 글자</t>
    </r>
    <r>
      <rPr>
        <i val="true"/>
        <sz val="9"/>
        <color rgb="FF5B6B7D"/>
        <rFont val="Arial"/>
        <family val="0"/>
        <charset val="1"/>
      </rPr>
      <t xml:space="preserve">), </t>
    </r>
    <r>
      <rPr>
        <i val="true"/>
        <sz val="9"/>
        <color rgb="FF5B6B7D"/>
        <rFont val="Noto Sans CJK SC"/>
        <family val="2"/>
      </rPr>
      <t xml:space="preserve">흰 칸</t>
    </r>
    <r>
      <rPr>
        <i val="true"/>
        <sz val="9"/>
        <color rgb="FF5B6B7D"/>
        <rFont val="Arial"/>
        <family val="0"/>
        <charset val="1"/>
      </rPr>
      <t xml:space="preserve">=</t>
    </r>
    <r>
      <rPr>
        <i val="true"/>
        <sz val="9"/>
        <color rgb="FF5B6B7D"/>
        <rFont val="Noto Sans CJK SC"/>
        <family val="2"/>
      </rPr>
      <t xml:space="preserve">자동 계산</t>
    </r>
    <r>
      <rPr>
        <i val="true"/>
        <sz val="9"/>
        <color rgb="FF5B6B7D"/>
        <rFont val="Arial"/>
        <family val="0"/>
        <charset val="1"/>
      </rPr>
      <t xml:space="preserve">. </t>
    </r>
    <r>
      <rPr>
        <i val="true"/>
        <sz val="9"/>
        <color rgb="FF5B6B7D"/>
        <rFont val="Noto Sans CJK SC"/>
        <family val="2"/>
      </rPr>
      <t xml:space="preserve">예시 숫자는 가상입니다</t>
    </r>
    <r>
      <rPr>
        <i val="true"/>
        <sz val="9"/>
        <color rgb="FF5B6B7D"/>
        <rFont val="Arial"/>
        <family val="0"/>
        <charset val="1"/>
      </rPr>
      <t xml:space="preserve">. </t>
    </r>
    <r>
      <rPr>
        <i val="true"/>
        <sz val="9"/>
        <color rgb="FF5B6B7D"/>
        <rFont val="Noto Sans CJK SC"/>
        <family val="2"/>
      </rPr>
      <t xml:space="preserve">／ </t>
    </r>
    <r>
      <rPr>
        <i val="true"/>
        <sz val="9"/>
        <color rgb="FF5B6B7D"/>
        <rFont val="Arial"/>
        <family val="0"/>
        <charset val="1"/>
      </rPr>
      <t xml:space="preserve">Yellow = input (blue text); white = calculated. Example figures are fictional.</t>
    </r>
  </si>
  <si>
    <r>
      <rPr>
        <b val="true"/>
        <sz val="11"/>
        <rFont val="Noto Sans CJK SC"/>
        <family val="2"/>
      </rPr>
      <t xml:space="preserve">① 実績の入力 ／ 실적 입력 ／ </t>
    </r>
    <r>
      <rPr>
        <b val="true"/>
        <sz val="11"/>
        <rFont val="Arial"/>
        <family val="0"/>
        <charset val="1"/>
      </rPr>
      <t xml:space="preserve">Inputs</t>
    </r>
  </si>
  <si>
    <t xml:space="preserve">No</t>
  </si>
  <si>
    <t xml:space="preserve">項目</t>
  </si>
  <si>
    <t xml:space="preserve">항목</t>
  </si>
  <si>
    <t xml:space="preserve">Item</t>
  </si>
  <si>
    <r>
      <rPr>
        <b val="true"/>
        <sz val="10"/>
        <color rgb="FFFFFFFF"/>
        <rFont val="Noto Sans CJK SC"/>
        <family val="2"/>
      </rPr>
      <t xml:space="preserve">今月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이번 달 </t>
    </r>
    <r>
      <rPr>
        <b val="true"/>
        <sz val="10"/>
        <color rgb="FFFFFFFF"/>
        <rFont val="Arial"/>
        <family val="0"/>
        <charset val="1"/>
      </rPr>
      <t xml:space="preserve">/ This month</t>
    </r>
  </si>
  <si>
    <r>
      <rPr>
        <b val="true"/>
        <sz val="10"/>
        <color rgb="FFFFFFFF"/>
        <rFont val="Noto Sans CJK SC"/>
        <family val="2"/>
      </rPr>
      <t xml:space="preserve">前月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전월 </t>
    </r>
    <r>
      <rPr>
        <b val="true"/>
        <sz val="10"/>
        <color rgb="FFFFFFFF"/>
        <rFont val="Arial"/>
        <family val="0"/>
        <charset val="1"/>
      </rPr>
      <t xml:space="preserve">/ Last month</t>
    </r>
  </si>
  <si>
    <r>
      <rPr>
        <b val="true"/>
        <sz val="10"/>
        <color rgb="FFFFFFFF"/>
        <rFont val="Noto Sans CJK SC"/>
        <family val="2"/>
      </rPr>
      <t xml:space="preserve">差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차이 </t>
    </r>
    <r>
      <rPr>
        <b val="true"/>
        <sz val="10"/>
        <color rgb="FFFFFFFF"/>
        <rFont val="Arial"/>
        <family val="0"/>
        <charset val="1"/>
      </rPr>
      <t xml:space="preserve">/ Change</t>
    </r>
  </si>
  <si>
    <r>
      <rPr>
        <b val="true"/>
        <sz val="10"/>
        <color rgb="FFFFFFFF"/>
        <rFont val="Noto Sans CJK SC"/>
        <family val="2"/>
      </rPr>
      <t xml:space="preserve">目標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목표 </t>
    </r>
    <r>
      <rPr>
        <b val="true"/>
        <sz val="10"/>
        <color rgb="FFFFFFFF"/>
        <rFont val="Arial"/>
        <family val="0"/>
        <charset val="1"/>
      </rPr>
      <t xml:space="preserve">/ Target</t>
    </r>
  </si>
  <si>
    <r>
      <rPr>
        <b val="true"/>
        <sz val="10"/>
        <color rgb="FFFFFFFF"/>
        <rFont val="Noto Sans CJK SC"/>
        <family val="2"/>
      </rPr>
      <t xml:space="preserve">判定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판정 </t>
    </r>
    <r>
      <rPr>
        <b val="true"/>
        <sz val="10"/>
        <color rgb="FFFFFFFF"/>
        <rFont val="Arial"/>
        <family val="0"/>
        <charset val="1"/>
      </rPr>
      <t xml:space="preserve">/ Status</t>
    </r>
  </si>
  <si>
    <r>
      <rPr>
        <b val="true"/>
        <sz val="10"/>
        <color rgb="FFFFFFFF"/>
        <rFont val="Noto Sans CJK SC"/>
        <family val="2"/>
      </rPr>
      <t xml:space="preserve">コメント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코멘트 </t>
    </r>
    <r>
      <rPr>
        <b val="true"/>
        <sz val="10"/>
        <color rgb="FFFFFFFF"/>
        <rFont val="Arial"/>
        <family val="0"/>
        <charset val="1"/>
      </rPr>
      <t xml:space="preserve">/ Comment</t>
    </r>
  </si>
  <si>
    <t xml:space="preserve">予定便数</t>
  </si>
  <si>
    <t xml:space="preserve">예정 편수</t>
  </si>
  <si>
    <t xml:space="preserve">Flights scheduled</t>
  </si>
  <si>
    <t xml:space="preserve">運航便数</t>
  </si>
  <si>
    <t xml:space="preserve">운항 편수</t>
  </si>
  <si>
    <t xml:space="preserve">Flights operated</t>
  </si>
  <si>
    <r>
      <rPr>
        <sz val="10"/>
        <color rgb="FF0000FF"/>
        <rFont val="Noto Sans CJK SC"/>
        <family val="2"/>
      </rPr>
      <t xml:space="preserve">台風で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便欠航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태풍으로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편 결항</t>
    </r>
  </si>
  <si>
    <t xml:space="preserve">欠航便数</t>
  </si>
  <si>
    <t xml:space="preserve">결항 편수</t>
  </si>
  <si>
    <t xml:space="preserve">Flights cancelled</t>
  </si>
  <si>
    <t xml:space="preserve">臨時便数</t>
  </si>
  <si>
    <t xml:space="preserve">임시편 수</t>
  </si>
  <si>
    <t xml:space="preserve">Extra flights</t>
  </si>
  <si>
    <r>
      <rPr>
        <sz val="10"/>
        <rFont val="Noto Sans CJK SC"/>
        <family val="2"/>
      </rPr>
      <t xml:space="preserve">定刻に出発した便（</t>
    </r>
    <r>
      <rPr>
        <sz val="10"/>
        <rFont val="Arial"/>
        <family val="0"/>
        <charset val="1"/>
      </rPr>
      <t xml:space="preserve">D0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</si>
  <si>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정시 출발 편</t>
    </r>
    <r>
      <rPr>
        <sz val="10"/>
        <rFont val="Arial"/>
        <family val="0"/>
        <charset val="1"/>
      </rPr>
      <t xml:space="preserve">(D0)</t>
    </r>
  </si>
  <si>
    <t xml:space="preserve">Departed on time (D0)</t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</si>
  <si>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分以内に出発した便（</t>
    </r>
    <r>
      <rPr>
        <sz val="10"/>
        <rFont val="Arial"/>
        <family val="0"/>
        <charset val="1"/>
      </rPr>
      <t xml:space="preserve">D15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</si>
  <si>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 이내 출발 편</t>
    </r>
    <r>
      <rPr>
        <sz val="10"/>
        <rFont val="Arial"/>
        <family val="0"/>
        <charset val="1"/>
      </rPr>
      <t xml:space="preserve">(D15)</t>
    </r>
  </si>
  <si>
    <t xml:space="preserve">Departed within 15 min (D15)</t>
  </si>
  <si>
    <t xml:space="preserve">地上起因の遅延の件数</t>
  </si>
  <si>
    <t xml:space="preserve">지상 원인 지연 건수</t>
  </si>
  <si>
    <t xml:space="preserve">Ground-caused delays</t>
  </si>
  <si>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：搭乗、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：手荷物 </t>
    </r>
    <r>
      <rPr>
        <sz val="10"/>
        <color rgb="FF0000FF"/>
        <rFont val="Arial"/>
        <family val="0"/>
        <charset val="1"/>
      </rPr>
      <t xml:space="preserve">/ 15: </t>
    </r>
    <r>
      <rPr>
        <sz val="10"/>
        <color rgb="FF0000FF"/>
        <rFont val="Noto Sans CJK SC"/>
        <family val="2"/>
      </rPr>
      <t xml:space="preserve">탑승</t>
    </r>
    <r>
      <rPr>
        <sz val="10"/>
        <color rgb="FF0000FF"/>
        <rFont val="Arial"/>
        <family val="0"/>
        <charset val="1"/>
      </rPr>
      <t xml:space="preserve">, 18: </t>
    </r>
    <r>
      <rPr>
        <sz val="10"/>
        <color rgb="FF0000FF"/>
        <rFont val="Noto Sans CJK SC"/>
        <family val="2"/>
      </rPr>
      <t xml:space="preserve">수하물</t>
    </r>
  </si>
  <si>
    <t xml:space="preserve">旅客数</t>
  </si>
  <si>
    <t xml:space="preserve">여객 수</t>
  </si>
  <si>
    <t xml:space="preserve">Passengers</t>
  </si>
  <si>
    <t xml:space="preserve">提供座席数</t>
  </si>
  <si>
    <t xml:space="preserve">제공 좌석 수</t>
  </si>
  <si>
    <t xml:space="preserve">Seats offered</t>
  </si>
  <si>
    <t xml:space="preserve">手荷物事故：未着</t>
  </si>
  <si>
    <r>
      <rPr>
        <sz val="10"/>
        <rFont val="Noto Sans CJK SC"/>
        <family val="2"/>
      </rPr>
      <t xml:space="preserve">수하물 사고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미착</t>
    </r>
  </si>
  <si>
    <t xml:space="preserve">Mishandled bags: delayed</t>
  </si>
  <si>
    <r>
      <rPr>
        <sz val="10"/>
        <color rgb="FF0000FF"/>
        <rFont val="Noto Sans CJK SC"/>
        <family val="2"/>
      </rPr>
      <t xml:space="preserve">乗り継ぎの接続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환승 연결</t>
    </r>
  </si>
  <si>
    <t xml:space="preserve">手荷物事故：破損</t>
  </si>
  <si>
    <r>
      <rPr>
        <sz val="10"/>
        <rFont val="Noto Sans CJK SC"/>
        <family val="2"/>
      </rPr>
      <t xml:space="preserve">수하물 사고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파손</t>
    </r>
  </si>
  <si>
    <t xml:space="preserve">Mishandled bags: damaged</t>
  </si>
  <si>
    <t xml:space="preserve">安全報告の件数</t>
  </si>
  <si>
    <t xml:space="preserve">안전 보고 건수</t>
  </si>
  <si>
    <t xml:space="preserve">Safety reports</t>
  </si>
  <si>
    <r>
      <rPr>
        <sz val="10"/>
        <color rgb="FF0000FF"/>
        <rFont val="Noto Sans CJK SC"/>
        <family val="2"/>
      </rPr>
      <t xml:space="preserve">ヒヤリ・ハット</t>
    </r>
    <r>
      <rPr>
        <sz val="10"/>
        <color rgb="FF0000FF"/>
        <rFont val="Arial"/>
        <family val="0"/>
        <charset val="1"/>
      </rPr>
      <t xml:space="preserve">4 / </t>
    </r>
    <r>
      <rPr>
        <sz val="10"/>
        <color rgb="FF0000FF"/>
        <rFont val="Noto Sans CJK SC"/>
        <family val="2"/>
      </rPr>
      <t xml:space="preserve">아차 사고 </t>
    </r>
    <r>
      <rPr>
        <sz val="10"/>
        <color rgb="FF0000FF"/>
        <rFont val="Arial"/>
        <family val="0"/>
        <charset val="1"/>
      </rPr>
      <t xml:space="preserve">4</t>
    </r>
  </si>
  <si>
    <t xml:space="preserve">搭載の誤り</t>
  </si>
  <si>
    <t xml:space="preserve">탑재 오류</t>
  </si>
  <si>
    <t xml:space="preserve">Loading errors</t>
  </si>
  <si>
    <t xml:space="preserve">危険物の事象</t>
  </si>
  <si>
    <t xml:space="preserve">위험물 사건</t>
  </si>
  <si>
    <t xml:space="preserve">Dangerous goods occurrences</t>
  </si>
  <si>
    <t xml:space="preserve">ランプの事故（車両の接触など）</t>
  </si>
  <si>
    <r>
      <rPr>
        <sz val="10"/>
        <rFont val="Noto Sans CJK SC"/>
        <family val="2"/>
      </rPr>
      <t xml:space="preserve">램프 사고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차량 접촉 등</t>
    </r>
    <r>
      <rPr>
        <sz val="10"/>
        <rFont val="Arial"/>
        <family val="0"/>
        <charset val="1"/>
      </rPr>
      <t xml:space="preserve">)</t>
    </r>
  </si>
  <si>
    <t xml:space="preserve">Ramp incidents</t>
  </si>
  <si>
    <t xml:space="preserve">苦情の件数</t>
  </si>
  <si>
    <t xml:space="preserve">불만 건수</t>
  </si>
  <si>
    <t xml:space="preserve">Complaints</t>
  </si>
  <si>
    <r>
      <rPr>
        <sz val="10"/>
        <color rgb="FF0000FF"/>
        <rFont val="Noto Sans CJK SC"/>
        <family val="2"/>
      </rPr>
      <t xml:space="preserve">欠航時の案内の遅れ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件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결항 시 안내 지연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건</t>
    </r>
  </si>
  <si>
    <t xml:space="preserve">お褒めの件数</t>
  </si>
  <si>
    <t xml:space="preserve">칭찬 건수</t>
  </si>
  <si>
    <t xml:space="preserve">Compliments</t>
  </si>
  <si>
    <t xml:space="preserve">費用：予算（円）</t>
  </si>
  <si>
    <r>
      <rPr>
        <sz val="10"/>
        <rFont val="Noto Sans CJK SC"/>
        <family val="2"/>
      </rPr>
      <t xml:space="preserve">비용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예산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엔</t>
    </r>
    <r>
      <rPr>
        <sz val="10"/>
        <rFont val="Arial"/>
        <family val="0"/>
        <charset val="1"/>
      </rPr>
      <t xml:space="preserve">)</t>
    </r>
  </si>
  <si>
    <t xml:space="preserve">Cost: budget (JPY)</t>
  </si>
  <si>
    <t xml:space="preserve">費用：実績（円）</t>
  </si>
  <si>
    <r>
      <rPr>
        <sz val="10"/>
        <rFont val="Noto Sans CJK SC"/>
        <family val="2"/>
      </rPr>
      <t xml:space="preserve">비용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엔</t>
    </r>
    <r>
      <rPr>
        <sz val="10"/>
        <rFont val="Arial"/>
        <family val="0"/>
        <charset val="1"/>
      </rPr>
      <t xml:space="preserve">)</t>
    </r>
  </si>
  <si>
    <t xml:space="preserve">Cost: actual (JPY)</t>
  </si>
  <si>
    <r>
      <rPr>
        <sz val="10"/>
        <color rgb="FF0000FF"/>
        <rFont val="Noto Sans CJK SC"/>
        <family val="2"/>
      </rPr>
      <t xml:space="preserve">台風の追加作業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태풍 추가 작업</t>
    </r>
  </si>
  <si>
    <t xml:space="preserve">教育の期限切れの人数</t>
  </si>
  <si>
    <t xml:space="preserve">교육 기한 경과 인원</t>
  </si>
  <si>
    <t xml:space="preserve">Staff with expired training</t>
  </si>
  <si>
    <t xml:space="preserve">監査の指摘：未是正の件数</t>
  </si>
  <si>
    <r>
      <rPr>
        <sz val="10"/>
        <rFont val="Noto Sans CJK SC"/>
        <family val="2"/>
      </rPr>
      <t xml:space="preserve">감사 지적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미시정 건수</t>
    </r>
  </si>
  <si>
    <t xml:space="preserve">Audit findings still open</t>
  </si>
  <si>
    <r>
      <rPr>
        <b val="true"/>
        <sz val="11"/>
        <rFont val="Noto Sans CJK SC"/>
        <family val="2"/>
      </rPr>
      <t xml:space="preserve">② 主な指標（自動計算） ／ 주요 지표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자동 계산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／ </t>
    </r>
    <r>
      <rPr>
        <b val="true"/>
        <sz val="11"/>
        <rFont val="Arial"/>
        <family val="0"/>
        <charset val="1"/>
      </rPr>
      <t xml:space="preserve">Key indicators (calculated)</t>
    </r>
  </si>
  <si>
    <t xml:space="preserve">K1</t>
  </si>
  <si>
    <t xml:space="preserve">欠航率</t>
  </si>
  <si>
    <t xml:space="preserve">결항률</t>
  </si>
  <si>
    <t xml:space="preserve">Cancellation rate</t>
  </si>
  <si>
    <t xml:space="preserve">K2</t>
  </si>
  <si>
    <r>
      <rPr>
        <sz val="10"/>
        <rFont val="Noto Sans CJK SC"/>
        <family val="2"/>
      </rPr>
      <t xml:space="preserve">出発の定時率（</t>
    </r>
    <r>
      <rPr>
        <sz val="10"/>
        <rFont val="Arial"/>
        <family val="0"/>
        <charset val="1"/>
      </rPr>
      <t xml:space="preserve">D0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</si>
  <si>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출발 정시율</t>
    </r>
    <r>
      <rPr>
        <sz val="10"/>
        <rFont val="Arial"/>
        <family val="0"/>
        <charset val="1"/>
      </rPr>
      <t xml:space="preserve">(D0)</t>
    </r>
  </si>
  <si>
    <t xml:space="preserve">On-time departure (D0)</t>
  </si>
  <si>
    <t xml:space="preserve">K3</t>
  </si>
  <si>
    <r>
      <rPr>
        <sz val="10"/>
        <rFont val="Noto Sans CJK SC"/>
        <family val="2"/>
      </rPr>
      <t xml:space="preserve">出発の定時率（</t>
    </r>
    <r>
      <rPr>
        <sz val="10"/>
        <rFont val="Arial"/>
        <family val="0"/>
        <charset val="1"/>
      </rPr>
      <t xml:space="preserve">D15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</si>
  <si>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출발 정시율</t>
    </r>
    <r>
      <rPr>
        <sz val="10"/>
        <rFont val="Arial"/>
        <family val="0"/>
        <charset val="1"/>
      </rPr>
      <t xml:space="preserve">(D15)</t>
    </r>
  </si>
  <si>
    <t xml:space="preserve">On-time departure (D15)</t>
  </si>
  <si>
    <t xml:space="preserve">K4</t>
  </si>
  <si>
    <t xml:space="preserve">搭乗率</t>
  </si>
  <si>
    <t xml:space="preserve">탑승률</t>
  </si>
  <si>
    <t xml:space="preserve">Load factor</t>
  </si>
  <si>
    <t xml:space="preserve">K5</t>
  </si>
  <si>
    <r>
      <rPr>
        <sz val="10"/>
        <rFont val="Noto Sans CJK SC"/>
        <family val="2"/>
      </rPr>
      <t xml:space="preserve">手荷物事故率（旅客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人あたり）</t>
    </r>
  </si>
  <si>
    <r>
      <rPr>
        <sz val="10"/>
        <rFont val="Noto Sans CJK SC"/>
        <family val="2"/>
      </rPr>
      <t xml:space="preserve">수하물 사고율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여객 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명당</t>
    </r>
    <r>
      <rPr>
        <sz val="10"/>
        <rFont val="Arial"/>
        <family val="0"/>
        <charset val="1"/>
      </rPr>
      <t xml:space="preserve">)</t>
    </r>
  </si>
  <si>
    <t xml:space="preserve">Mishandled bags per 1,000 passengers</t>
  </si>
  <si>
    <t xml:space="preserve">K6</t>
  </si>
  <si>
    <r>
      <rPr>
        <sz val="10"/>
        <rFont val="Noto Sans CJK SC"/>
        <family val="2"/>
      </rPr>
      <t xml:space="preserve">苦情率（旅客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万人あたり）</t>
    </r>
  </si>
  <si>
    <r>
      <rPr>
        <sz val="10"/>
        <rFont val="Noto Sans CJK SC"/>
        <family val="2"/>
      </rPr>
      <t xml:space="preserve">불만율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 명당</t>
    </r>
    <r>
      <rPr>
        <sz val="10"/>
        <rFont val="Arial"/>
        <family val="0"/>
        <charset val="1"/>
      </rPr>
      <t xml:space="preserve">)</t>
    </r>
  </si>
  <si>
    <t xml:space="preserve">Complaints per 10,000 passengers</t>
  </si>
  <si>
    <t xml:space="preserve">K7</t>
  </si>
  <si>
    <t xml:space="preserve">費用の予算比</t>
  </si>
  <si>
    <t xml:space="preserve">비용 예산 대비</t>
  </si>
  <si>
    <t xml:space="preserve">Cost vs budget</t>
  </si>
  <si>
    <t xml:space="preserve">K8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</si>
  <si>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便あたりの費用（円）</t>
    </r>
  </si>
  <si>
    <r>
      <rPr>
        <sz val="10"/>
        <rFont val="Noto Sans CJK SC"/>
        <family val="2"/>
      </rPr>
      <t xml:space="preserve">편당 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엔</t>
    </r>
    <r>
      <rPr>
        <sz val="10"/>
        <rFont val="Arial"/>
        <family val="0"/>
        <charset val="1"/>
      </rPr>
      <t xml:space="preserve">)</t>
    </r>
  </si>
  <si>
    <t xml:space="preserve">Cost per flight (JPY)</t>
  </si>
  <si>
    <t xml:space="preserve">K9</t>
  </si>
  <si>
    <r>
      <rPr>
        <sz val="10"/>
        <rFont val="Noto Sans CJK SC"/>
        <family val="2"/>
      </rPr>
      <t xml:space="preserve">旅客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人あたりの費用（円）</t>
    </r>
  </si>
  <si>
    <r>
      <rPr>
        <sz val="10"/>
        <rFont val="Noto Sans CJK SC"/>
        <family val="2"/>
      </rPr>
      <t xml:space="preserve">승객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인당 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엔</t>
    </r>
    <r>
      <rPr>
        <sz val="10"/>
        <rFont val="Arial"/>
        <family val="0"/>
        <charset val="1"/>
      </rPr>
      <t xml:space="preserve">)</t>
    </r>
  </si>
  <si>
    <t xml:space="preserve">Cost per passenger (JPY)</t>
  </si>
  <si>
    <r>
      <rPr>
        <b val="true"/>
        <sz val="11"/>
        <rFont val="Noto Sans CJK SC"/>
        <family val="2"/>
      </rPr>
      <t xml:space="preserve">③ 地上起因の遅延の内訳（遅延コード） ／ 지상 원인 지연 내역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지연 코드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／ </t>
    </r>
    <r>
      <rPr>
        <b val="true"/>
        <sz val="11"/>
        <rFont val="Arial"/>
        <family val="0"/>
        <charset val="1"/>
      </rPr>
      <t xml:space="preserve">Ground delays by IATA code</t>
    </r>
  </si>
  <si>
    <r>
      <rPr>
        <b val="true"/>
        <sz val="10"/>
        <color rgb="FFFFFFFF"/>
        <rFont val="Noto Sans CJK SC"/>
        <family val="2"/>
      </rPr>
      <t xml:space="preserve">遅延コード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지연 코드 </t>
    </r>
    <r>
      <rPr>
        <b val="true"/>
        <sz val="10"/>
        <color rgb="FFFFFFFF"/>
        <rFont val="Arial"/>
        <family val="0"/>
        <charset val="1"/>
      </rPr>
      <t xml:space="preserve">/ Code</t>
    </r>
  </si>
  <si>
    <r>
      <rPr>
        <b val="true"/>
        <sz val="10"/>
        <color rgb="FFFFFFFF"/>
        <rFont val="Noto Sans CJK SC"/>
        <family val="2"/>
      </rPr>
      <t xml:space="preserve">内容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내용 </t>
    </r>
    <r>
      <rPr>
        <b val="true"/>
        <sz val="10"/>
        <color rgb="FFFFFFFF"/>
        <rFont val="Arial"/>
        <family val="0"/>
        <charset val="1"/>
      </rPr>
      <t xml:space="preserve">/ Description</t>
    </r>
  </si>
  <si>
    <r>
      <rPr>
        <b val="true"/>
        <sz val="10"/>
        <color rgb="FFFFFFFF"/>
        <rFont val="Noto Sans CJK SC"/>
        <family val="2"/>
      </rPr>
      <t xml:space="preserve">件数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건수 </t>
    </r>
    <r>
      <rPr>
        <b val="true"/>
        <sz val="10"/>
        <color rgb="FFFFFFFF"/>
        <rFont val="Arial"/>
        <family val="0"/>
        <charset val="1"/>
      </rPr>
      <t xml:space="preserve">/ Count</t>
    </r>
  </si>
  <si>
    <t xml:space="preserve">15</t>
  </si>
  <si>
    <r>
      <rPr>
        <sz val="10"/>
        <color rgb="FF0000FF"/>
        <rFont val="Noto Sans CJK SC"/>
        <family val="2"/>
      </rPr>
      <t xml:space="preserve">搭乗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탑승 </t>
    </r>
    <r>
      <rPr>
        <sz val="10"/>
        <color rgb="FF0000FF"/>
        <rFont val="Arial"/>
        <family val="0"/>
        <charset val="1"/>
      </rPr>
      <t xml:space="preserve">/ Boarding</t>
    </r>
  </si>
  <si>
    <t xml:space="preserve">18</t>
  </si>
  <si>
    <r>
      <rPr>
        <sz val="10"/>
        <color rgb="FF0000FF"/>
        <rFont val="Noto Sans CJK SC"/>
        <family val="2"/>
      </rPr>
      <t xml:space="preserve">手荷物の処理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수하물 처리 </t>
    </r>
    <r>
      <rPr>
        <sz val="10"/>
        <color rgb="FF0000FF"/>
        <rFont val="Arial"/>
        <family val="0"/>
        <charset val="1"/>
      </rPr>
      <t xml:space="preserve">/ Baggage processing</t>
    </r>
  </si>
  <si>
    <r>
      <rPr>
        <b val="true"/>
        <sz val="10"/>
        <rFont val="Noto Sans CJK SC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/ Total</t>
    </r>
  </si>
  <si>
    <r>
      <rPr>
        <b val="true"/>
        <sz val="11"/>
        <rFont val="Noto Sans CJK SC"/>
        <family val="2"/>
      </rPr>
      <t xml:space="preserve">④ 今月の結論（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枚目に書く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行） ／ 이번 달 결론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첫 장 세 줄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／ </t>
    </r>
    <r>
      <rPr>
        <b val="true"/>
        <sz val="11"/>
        <rFont val="Arial"/>
        <family val="0"/>
        <charset val="1"/>
      </rPr>
      <t xml:space="preserve">This month’s conclusion</t>
    </r>
  </si>
  <si>
    <t xml:space="preserve">良かった点</t>
  </si>
  <si>
    <t xml:space="preserve">좋았던 점</t>
  </si>
  <si>
    <t xml:space="preserve">What went well</t>
  </si>
  <si>
    <r>
      <rPr>
        <sz val="10"/>
        <color rgb="FF0000FF"/>
        <rFont val="Noto Sans CJK SC"/>
        <family val="2"/>
      </rPr>
      <t xml:space="preserve">連休の繁忙を大きな遅れなく運営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연휴 성수기를 큰 지연 없이 운영</t>
    </r>
  </si>
  <si>
    <t xml:space="preserve">課題</t>
  </si>
  <si>
    <t xml:space="preserve">과제</t>
  </si>
  <si>
    <t xml:space="preserve">Issues</t>
  </si>
  <si>
    <r>
      <rPr>
        <sz val="10"/>
        <color rgb="FF0000FF"/>
        <rFont val="Noto Sans CJK SC"/>
        <family val="2"/>
      </rPr>
      <t xml:space="preserve">台風の欠航時の案内の遅れ、乗り継ぎ手荷物の未着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태풍 결항 시 안내 지연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환승 수하물 미착</t>
    </r>
  </si>
  <si>
    <t xml:space="preserve">来月の対策</t>
  </si>
  <si>
    <t xml:space="preserve">다음 달 대책</t>
  </si>
  <si>
    <t xml:space="preserve">Next month’s actions</t>
  </si>
  <si>
    <r>
      <rPr>
        <sz val="10"/>
        <color rgb="FF0000FF"/>
        <rFont val="Noto Sans CJK SC"/>
        <family val="2"/>
      </rPr>
      <t xml:space="preserve">欠航の案内の担当と文面を決め直す（</t>
    </r>
    <r>
      <rPr>
        <sz val="10"/>
        <color rgb="FF0000FF"/>
        <rFont val="Arial"/>
        <family val="0"/>
        <charset val="1"/>
      </rPr>
      <t xml:space="preserve">5-8</t>
    </r>
    <r>
      <rPr>
        <sz val="10"/>
        <color rgb="FF0000FF"/>
        <rFont val="Noto Sans CJK SC"/>
        <family val="2"/>
      </rPr>
      <t xml:space="preserve">）、接続時間を本社と確認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결항 안내 담당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문구 재정비</t>
    </r>
    <r>
      <rPr>
        <sz val="10"/>
        <color rgb="FF0000FF"/>
        <rFont val="Arial"/>
        <family val="0"/>
        <charset val="1"/>
      </rPr>
      <t xml:space="preserve">(5-8), </t>
    </r>
    <r>
      <rPr>
        <sz val="10"/>
        <color rgb="FF0000FF"/>
        <rFont val="Noto Sans CJK SC"/>
        <family val="2"/>
      </rPr>
      <t xml:space="preserve">연결 시간을 본사와 확인</t>
    </r>
  </si>
  <si>
    <r>
      <rPr>
        <b val="true"/>
        <sz val="11"/>
        <rFont val="Noto Sans CJK SC"/>
        <family val="2"/>
      </rPr>
      <t xml:space="preserve">使い方 ／ 사용법 ／ </t>
    </r>
    <r>
      <rPr>
        <b val="true"/>
        <sz val="11"/>
        <rFont val="Arial"/>
        <family val="0"/>
        <charset val="1"/>
      </rPr>
      <t xml:space="preserve">How to use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</si>
  <si>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黄色のセル（青字）だけを入力します。白いセルは自動で計算されます。</t>
    </r>
  </si>
  <si>
    <r>
      <rPr>
        <sz val="10"/>
        <rFont val="Noto Sans CJK SC"/>
        <family val="2"/>
      </rPr>
      <t xml:space="preserve">   노란 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파란 글자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입력합니다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흰 칸은 자동으로 계산됩니다</t>
    </r>
    <r>
      <rPr>
        <sz val="10"/>
        <rFont val="Arial"/>
        <family val="0"/>
        <charset val="1"/>
      </rPr>
      <t xml:space="preserve">. / Enter data only in yellow cells (blue text); white cells calculate automatically.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</si>
  <si>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例の数字（架空）を消してから、自社の数字を入れてください。</t>
    </r>
  </si>
  <si>
    <r>
      <rPr>
        <sz val="10"/>
        <rFont val="Noto Sans CJK SC"/>
        <family val="2"/>
      </rPr>
      <t xml:space="preserve">   예시 숫자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지운 뒤 자사 숫자를 넣으세요</t>
    </r>
    <r>
      <rPr>
        <sz val="10"/>
        <rFont val="Arial"/>
        <family val="0"/>
        <charset val="1"/>
      </rPr>
      <t xml:space="preserve">. / Replace the fictional example figures with your own.</t>
    </r>
  </si>
  <si>
    <r>
      <rPr>
        <sz val="10"/>
        <rFont val="Arial"/>
        <family val="0"/>
        <charset val="1"/>
      </rPr>
      <t xml:space="preserve">3. ②</t>
    </r>
    <r>
      <rPr>
        <sz val="10"/>
        <rFont val="Noto Sans CJK SC"/>
        <family val="2"/>
      </rPr>
      <t xml:space="preserve">の「目標」は例です。本社の目標に置き換えてください。判定は目標と比べて自動で表示されます。</t>
    </r>
  </si>
  <si>
    <r>
      <rPr>
        <sz val="10"/>
        <rFont val="Noto Sans CJK SC"/>
        <family val="2"/>
      </rPr>
      <t xml:space="preserve">   ②의 ‘목표’는 예입니다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본사 목표로 바꾸세요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판정은 자동 표시됩니다</t>
    </r>
    <r>
      <rPr>
        <sz val="10"/>
        <rFont val="Arial"/>
        <family val="0"/>
        <charset val="1"/>
      </rPr>
      <t xml:space="preserve">. / Targets in ② are examples; replace with your head office targets.</t>
    </r>
  </si>
  <si>
    <r>
      <rPr>
        <sz val="10"/>
        <rFont val="Arial"/>
        <family val="0"/>
        <charset val="1"/>
      </rPr>
      <t xml:space="preserve">4. ③</t>
    </r>
    <r>
      <rPr>
        <sz val="10"/>
        <rFont val="Noto Sans CJK SC"/>
        <family val="2"/>
      </rPr>
      <t xml:space="preserve">の遅延コードの合計が①の地上起因の遅延の件数と合わないと、赤い注意が出ます。</t>
    </r>
  </si>
  <si>
    <r>
      <rPr>
        <sz val="10"/>
        <rFont val="Noto Sans CJK SC"/>
        <family val="2"/>
      </rPr>
      <t xml:space="preserve">   ③ 지연 코드 합계가 ①과 맞지 않으면 빨간 주의가 나옵니다</t>
    </r>
    <r>
      <rPr>
        <sz val="10"/>
        <rFont val="Arial"/>
        <family val="0"/>
        <charset val="1"/>
      </rPr>
      <t xml:space="preserve">. / A red note appears if ③ does not match the ground-caused delay count in ①.</t>
    </r>
  </si>
  <si>
    <r>
      <rPr>
        <sz val="10"/>
        <rFont val="Arial"/>
        <family val="0"/>
        <charset val="1"/>
      </rPr>
      <t xml:space="preserve">5. ④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行を月報の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枚目に書きます（講座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レッスン</t>
    </r>
    <r>
      <rPr>
        <sz val="10"/>
        <rFont val="Arial"/>
        <family val="0"/>
        <charset val="1"/>
      </rPr>
      <t xml:space="preserve">6-9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</si>
  <si>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   ④의 세 줄을 월간 보고 첫 장에 씁니다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강좌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레슨 </t>
    </r>
    <r>
      <rPr>
        <sz val="10"/>
        <rFont val="Arial"/>
        <family val="0"/>
        <charset val="1"/>
      </rPr>
      <t xml:space="preserve">6-9). / Put the three lines in ④ on the first page of the report (Course 1, Lesson 6-9).</t>
    </r>
  </si>
  <si>
    <r>
      <rPr>
        <b val="true"/>
        <sz val="11"/>
        <rFont val="Noto Sans CJK SC"/>
        <family val="2"/>
      </rPr>
      <t xml:space="preserve">指標の定義（例） ／ 지표 정의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예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／ </t>
    </r>
    <r>
      <rPr>
        <b val="true"/>
        <sz val="11"/>
        <rFont val="Arial"/>
        <family val="0"/>
        <charset val="1"/>
      </rPr>
      <t xml:space="preserve">Definitions (example)</t>
    </r>
  </si>
  <si>
    <r>
      <rPr>
        <sz val="10"/>
        <rFont val="Arial"/>
        <family val="0"/>
        <charset val="1"/>
      </rPr>
      <t xml:space="preserve">D15</t>
    </r>
    <r>
      <rPr>
        <sz val="10"/>
        <rFont val="Noto Sans CJK SC"/>
        <family val="2"/>
      </rPr>
      <t xml:space="preserve">＝定刻から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分以内に出発した便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運航便数 ／ 手荷物事故率＝（未着＋破損）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旅客数</t>
    </r>
    <r>
      <rPr>
        <sz val="10"/>
        <rFont val="Arial"/>
        <family val="0"/>
        <charset val="1"/>
      </rPr>
      <t xml:space="preserve">×1,000 </t>
    </r>
    <r>
      <rPr>
        <sz val="10"/>
        <rFont val="Noto Sans CJK SC"/>
        <family val="2"/>
      </rPr>
      <t xml:space="preserve">／ 苦情率＝苦情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旅客数</t>
    </r>
    <r>
      <rPr>
        <sz val="10"/>
        <rFont val="Arial"/>
        <family val="0"/>
        <charset val="1"/>
      </rPr>
      <t xml:space="preserve">×10,000</t>
    </r>
  </si>
  <si>
    <r>
      <rPr>
        <sz val="10"/>
        <rFont val="Noto Sans CJK SC"/>
        <family val="2"/>
      </rPr>
      <t xml:space="preserve">定義・分母・目標は会社ごとに違います。本社の定義書に合わせてください。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목표는 회사마다 다릅니다</t>
    </r>
    <r>
      <rPr>
        <sz val="10"/>
        <rFont val="Arial"/>
        <family val="0"/>
        <charset val="1"/>
      </rPr>
      <t xml:space="preserve">. / Definitions differ by airline; follow your head office.</t>
    </r>
  </si>
  <si>
    <r>
      <rPr>
        <sz val="10"/>
        <rFont val="Arial"/>
        <family val="0"/>
        <charset val="1"/>
      </rPr>
      <t xml:space="preserve">© </t>
    </r>
    <r>
      <rPr>
        <sz val="10"/>
        <rFont val="Noto Sans CJK SC"/>
        <family val="2"/>
      </rPr>
      <t xml:space="preserve">航空キャリアノート（仮称） — 自由に改変して使えます。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자유롭게 고쳐 쓸 수 있습니다</t>
    </r>
    <r>
      <rPr>
        <sz val="10"/>
        <rFont val="Arial"/>
        <family val="0"/>
        <charset val="1"/>
      </rPr>
      <t xml:space="preserve">. / Free to adapt.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</si>
</sst>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;\-#,##0;\-"/>
    <numFmt numFmtId="167" formatCode="0.0%"/>
    <numFmt numFmtId="168" formatCode="\+0.0%;\-0.0%;\-"/>
    <numFmt numFmtId="169" formatCode="0.00"/>
    <numFmt numFmtId="170" formatCode="\+0.00;\-0.00;\-"/>
    <numFmt numFmtId="171" formatCode="\+#,##0;\-#,##0;\-"/>
    <numFmt numFmtId="172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i val="true"/>
      <sz val="9"/>
      <color rgb="FF5B6B7D"/>
      <name val="Noto Sans CJK SC"/>
      <family val="2"/>
    </font>
    <font>
      <i val="true"/>
      <sz val="9"/>
      <color rgb="FF5B6B7D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sz val="9"/>
      <color rgb="FFC2344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FFFFFF"/>
      </patternFill>
    </fill>
    <fill>
      <patternFill patternType="solid">
        <fgColor rgb="FFE7F1FC"/>
        <bgColor rgb="FFFFFFFF"/>
      </patternFill>
    </fill>
    <fill>
      <patternFill patternType="solid">
        <fgColor rgb="FF1D2A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344F"/>
      <rgbColor rgb="FFFFF7CC"/>
      <rgbColor rgb="FFE7F1FC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E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0"/>
    <col collapsed="false" customWidth="true" hidden="false" outlineLevel="0" max="4" min="4" style="0" width="32"/>
    <col collapsed="false" customWidth="true" hidden="false" outlineLevel="0" max="6" min="5" style="0" width="14"/>
    <col collapsed="false" customWidth="true" hidden="false" outlineLevel="0" max="9" min="7" style="0" width="12"/>
    <col collapsed="false" customWidth="true" hidden="false" outlineLevel="0" max="10" min="10" style="0" width="4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s">
        <v>2</v>
      </c>
      <c r="E2" s="2" t="s">
        <v>3</v>
      </c>
      <c r="G2" s="3" t="s">
        <v>4</v>
      </c>
    </row>
    <row r="3" customFormat="false" ht="30" hidden="false" customHeight="true" outlineLevel="0" collapsed="false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21.75" hidden="false" customHeight="true" outlineLevel="0" collapsed="false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30" hidden="false" customHeight="true" outlineLevel="0" collapsed="false">
      <c r="A6" s="6" t="s">
        <v>7</v>
      </c>
      <c r="B6" s="7" t="s">
        <v>8</v>
      </c>
      <c r="C6" s="7" t="s">
        <v>9</v>
      </c>
      <c r="D6" s="6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7" t="s">
        <v>16</v>
      </c>
    </row>
    <row r="7" customFormat="false" ht="15" hidden="false" customHeight="false" outlineLevel="0" collapsed="false">
      <c r="A7" s="8" t="n">
        <v>1</v>
      </c>
      <c r="B7" s="9" t="s">
        <v>17</v>
      </c>
      <c r="C7" s="9" t="s">
        <v>18</v>
      </c>
      <c r="D7" s="8" t="s">
        <v>19</v>
      </c>
      <c r="E7" s="10" t="n">
        <v>62</v>
      </c>
      <c r="F7" s="10" t="n">
        <v>62</v>
      </c>
      <c r="G7" s="11" t="n">
        <f aca="false">E7-F7</f>
        <v>0</v>
      </c>
      <c r="H7" s="8"/>
      <c r="I7" s="8"/>
      <c r="J7" s="12"/>
    </row>
    <row r="8" customFormat="false" ht="15" hidden="false" customHeight="false" outlineLevel="0" collapsed="false">
      <c r="A8" s="8" t="n">
        <v>2</v>
      </c>
      <c r="B8" s="9" t="s">
        <v>20</v>
      </c>
      <c r="C8" s="9" t="s">
        <v>21</v>
      </c>
      <c r="D8" s="8" t="s">
        <v>22</v>
      </c>
      <c r="E8" s="10" t="n">
        <v>60</v>
      </c>
      <c r="F8" s="10" t="n">
        <v>62</v>
      </c>
      <c r="G8" s="11" t="n">
        <f aca="false">E8-F8</f>
        <v>-2</v>
      </c>
      <c r="H8" s="8"/>
      <c r="I8" s="8"/>
      <c r="J8" s="13" t="s">
        <v>23</v>
      </c>
    </row>
    <row r="9" customFormat="false" ht="15" hidden="false" customHeight="false" outlineLevel="0" collapsed="false">
      <c r="A9" s="8" t="n">
        <v>3</v>
      </c>
      <c r="B9" s="9" t="s">
        <v>24</v>
      </c>
      <c r="C9" s="9" t="s">
        <v>25</v>
      </c>
      <c r="D9" s="8" t="s">
        <v>26</v>
      </c>
      <c r="E9" s="10" t="n">
        <v>2</v>
      </c>
      <c r="F9" s="10" t="n">
        <v>0</v>
      </c>
      <c r="G9" s="11" t="n">
        <f aca="false">E9-F9</f>
        <v>2</v>
      </c>
      <c r="H9" s="8"/>
      <c r="I9" s="8"/>
      <c r="J9" s="12"/>
    </row>
    <row r="10" customFormat="false" ht="15" hidden="false" customHeight="false" outlineLevel="0" collapsed="false">
      <c r="A10" s="8" t="n">
        <v>4</v>
      </c>
      <c r="B10" s="9" t="s">
        <v>27</v>
      </c>
      <c r="C10" s="9" t="s">
        <v>28</v>
      </c>
      <c r="D10" s="8" t="s">
        <v>29</v>
      </c>
      <c r="E10" s="10" t="n">
        <v>0</v>
      </c>
      <c r="F10" s="10" t="n">
        <v>0</v>
      </c>
      <c r="G10" s="11" t="n">
        <f aca="false">E10-F10</f>
        <v>0</v>
      </c>
      <c r="H10" s="8"/>
      <c r="I10" s="8"/>
      <c r="J10" s="12"/>
    </row>
    <row r="11" customFormat="false" ht="15" hidden="false" customHeight="false" outlineLevel="0" collapsed="false">
      <c r="A11" s="8" t="n">
        <v>5</v>
      </c>
      <c r="B11" s="9" t="s">
        <v>30</v>
      </c>
      <c r="C11" s="9" t="s">
        <v>31</v>
      </c>
      <c r="D11" s="8" t="s">
        <v>32</v>
      </c>
      <c r="E11" s="10" t="n">
        <v>48</v>
      </c>
      <c r="F11" s="10" t="n">
        <v>50</v>
      </c>
      <c r="G11" s="11" t="n">
        <f aca="false">E11-F11</f>
        <v>-2</v>
      </c>
      <c r="H11" s="8"/>
      <c r="I11" s="8"/>
      <c r="J11" s="12"/>
    </row>
    <row r="12" customFormat="false" ht="15" hidden="false" customHeight="false" outlineLevel="0" collapsed="false">
      <c r="A12" s="8" t="n">
        <v>6</v>
      </c>
      <c r="B12" s="8" t="s">
        <v>33</v>
      </c>
      <c r="C12" s="8" t="s">
        <v>34</v>
      </c>
      <c r="D12" s="8" t="s">
        <v>35</v>
      </c>
      <c r="E12" s="10" t="n">
        <v>55</v>
      </c>
      <c r="F12" s="10" t="n">
        <v>59</v>
      </c>
      <c r="G12" s="11" t="n">
        <f aca="false">E12-F12</f>
        <v>-4</v>
      </c>
      <c r="H12" s="8"/>
      <c r="I12" s="8"/>
      <c r="J12" s="12"/>
    </row>
    <row r="13" customFormat="false" ht="15" hidden="false" customHeight="false" outlineLevel="0" collapsed="false">
      <c r="A13" s="8" t="n">
        <v>7</v>
      </c>
      <c r="B13" s="9" t="s">
        <v>36</v>
      </c>
      <c r="C13" s="9" t="s">
        <v>37</v>
      </c>
      <c r="D13" s="8" t="s">
        <v>38</v>
      </c>
      <c r="E13" s="10" t="n">
        <v>2</v>
      </c>
      <c r="F13" s="10" t="n">
        <v>1</v>
      </c>
      <c r="G13" s="11" t="n">
        <f aca="false">E13-F13</f>
        <v>1</v>
      </c>
      <c r="H13" s="8"/>
      <c r="I13" s="8"/>
      <c r="J13" s="12" t="s">
        <v>39</v>
      </c>
    </row>
    <row r="14" customFormat="false" ht="15" hidden="false" customHeight="false" outlineLevel="0" collapsed="false">
      <c r="A14" s="8" t="n">
        <v>8</v>
      </c>
      <c r="B14" s="9" t="s">
        <v>40</v>
      </c>
      <c r="C14" s="9" t="s">
        <v>41</v>
      </c>
      <c r="D14" s="8" t="s">
        <v>42</v>
      </c>
      <c r="E14" s="10" t="n">
        <v>9840</v>
      </c>
      <c r="F14" s="10" t="n">
        <v>9120</v>
      </c>
      <c r="G14" s="11" t="n">
        <f aca="false">E14-F14</f>
        <v>720</v>
      </c>
      <c r="H14" s="8"/>
      <c r="I14" s="8"/>
      <c r="J14" s="12"/>
    </row>
    <row r="15" customFormat="false" ht="15" hidden="false" customHeight="false" outlineLevel="0" collapsed="false">
      <c r="A15" s="8" t="n">
        <v>9</v>
      </c>
      <c r="B15" s="9" t="s">
        <v>43</v>
      </c>
      <c r="C15" s="9" t="s">
        <v>44</v>
      </c>
      <c r="D15" s="8" t="s">
        <v>45</v>
      </c>
      <c r="E15" s="10" t="n">
        <v>12000</v>
      </c>
      <c r="F15" s="10" t="n">
        <v>11700</v>
      </c>
      <c r="G15" s="11" t="n">
        <f aca="false">E15-F15</f>
        <v>300</v>
      </c>
      <c r="H15" s="8"/>
      <c r="I15" s="8"/>
      <c r="J15" s="12"/>
    </row>
    <row r="16" customFormat="false" ht="15" hidden="false" customHeight="false" outlineLevel="0" collapsed="false">
      <c r="A16" s="8" t="n">
        <v>10</v>
      </c>
      <c r="B16" s="9" t="s">
        <v>46</v>
      </c>
      <c r="C16" s="9" t="s">
        <v>47</v>
      </c>
      <c r="D16" s="8" t="s">
        <v>48</v>
      </c>
      <c r="E16" s="10" t="n">
        <v>6</v>
      </c>
      <c r="F16" s="10" t="n">
        <v>4</v>
      </c>
      <c r="G16" s="11" t="n">
        <f aca="false">E16-F16</f>
        <v>2</v>
      </c>
      <c r="H16" s="8"/>
      <c r="I16" s="8"/>
      <c r="J16" s="13" t="s">
        <v>49</v>
      </c>
    </row>
    <row r="17" customFormat="false" ht="15" hidden="false" customHeight="false" outlineLevel="0" collapsed="false">
      <c r="A17" s="8" t="n">
        <v>11</v>
      </c>
      <c r="B17" s="9" t="s">
        <v>50</v>
      </c>
      <c r="C17" s="9" t="s">
        <v>51</v>
      </c>
      <c r="D17" s="8" t="s">
        <v>52</v>
      </c>
      <c r="E17" s="10" t="n">
        <v>3</v>
      </c>
      <c r="F17" s="10" t="n">
        <v>2</v>
      </c>
      <c r="G17" s="11" t="n">
        <f aca="false">E17-F17</f>
        <v>1</v>
      </c>
      <c r="H17" s="8"/>
      <c r="I17" s="8"/>
      <c r="J17" s="12"/>
    </row>
    <row r="18" customFormat="false" ht="15" hidden="false" customHeight="false" outlineLevel="0" collapsed="false">
      <c r="A18" s="8" t="n">
        <v>12</v>
      </c>
      <c r="B18" s="9" t="s">
        <v>53</v>
      </c>
      <c r="C18" s="9" t="s">
        <v>54</v>
      </c>
      <c r="D18" s="8" t="s">
        <v>55</v>
      </c>
      <c r="E18" s="10" t="n">
        <v>5</v>
      </c>
      <c r="F18" s="10" t="n">
        <v>3</v>
      </c>
      <c r="G18" s="11" t="n">
        <f aca="false">E18-F18</f>
        <v>2</v>
      </c>
      <c r="H18" s="8"/>
      <c r="I18" s="8"/>
      <c r="J18" s="13" t="s">
        <v>56</v>
      </c>
    </row>
    <row r="19" customFormat="false" ht="15" hidden="false" customHeight="false" outlineLevel="0" collapsed="false">
      <c r="A19" s="8" t="n">
        <v>13</v>
      </c>
      <c r="B19" s="9" t="s">
        <v>57</v>
      </c>
      <c r="C19" s="9" t="s">
        <v>58</v>
      </c>
      <c r="D19" s="8" t="s">
        <v>59</v>
      </c>
      <c r="E19" s="10" t="n">
        <v>0</v>
      </c>
      <c r="F19" s="10" t="n">
        <v>0</v>
      </c>
      <c r="G19" s="11" t="n">
        <f aca="false">E19-F19</f>
        <v>0</v>
      </c>
      <c r="H19" s="8"/>
      <c r="I19" s="8"/>
      <c r="J19" s="12"/>
    </row>
    <row r="20" customFormat="false" ht="15" hidden="false" customHeight="false" outlineLevel="0" collapsed="false">
      <c r="A20" s="8" t="n">
        <v>14</v>
      </c>
      <c r="B20" s="9" t="s">
        <v>60</v>
      </c>
      <c r="C20" s="9" t="s">
        <v>61</v>
      </c>
      <c r="D20" s="8" t="s">
        <v>62</v>
      </c>
      <c r="E20" s="10" t="n">
        <v>0</v>
      </c>
      <c r="F20" s="10" t="n">
        <v>0</v>
      </c>
      <c r="G20" s="11" t="n">
        <f aca="false">E20-F20</f>
        <v>0</v>
      </c>
      <c r="H20" s="8"/>
      <c r="I20" s="8"/>
      <c r="J20" s="12"/>
    </row>
    <row r="21" customFormat="false" ht="15" hidden="false" customHeight="false" outlineLevel="0" collapsed="false">
      <c r="A21" s="8" t="n">
        <v>15</v>
      </c>
      <c r="B21" s="9" t="s">
        <v>63</v>
      </c>
      <c r="C21" s="9" t="s">
        <v>64</v>
      </c>
      <c r="D21" s="8" t="s">
        <v>65</v>
      </c>
      <c r="E21" s="10" t="n">
        <v>0</v>
      </c>
      <c r="F21" s="10" t="n">
        <v>0</v>
      </c>
      <c r="G21" s="11" t="n">
        <f aca="false">E21-F21</f>
        <v>0</v>
      </c>
      <c r="H21" s="8"/>
      <c r="I21" s="8"/>
      <c r="J21" s="12"/>
    </row>
    <row r="22" customFormat="false" ht="15" hidden="false" customHeight="false" outlineLevel="0" collapsed="false">
      <c r="A22" s="8" t="n">
        <v>16</v>
      </c>
      <c r="B22" s="9" t="s">
        <v>66</v>
      </c>
      <c r="C22" s="9" t="s">
        <v>67</v>
      </c>
      <c r="D22" s="8" t="s">
        <v>68</v>
      </c>
      <c r="E22" s="10" t="n">
        <v>4</v>
      </c>
      <c r="F22" s="10" t="n">
        <v>2</v>
      </c>
      <c r="G22" s="11" t="n">
        <f aca="false">E22-F22</f>
        <v>2</v>
      </c>
      <c r="H22" s="8"/>
      <c r="I22" s="8"/>
      <c r="J22" s="13" t="s">
        <v>69</v>
      </c>
    </row>
    <row r="23" customFormat="false" ht="15" hidden="false" customHeight="false" outlineLevel="0" collapsed="false">
      <c r="A23" s="8" t="n">
        <v>17</v>
      </c>
      <c r="B23" s="9" t="s">
        <v>70</v>
      </c>
      <c r="C23" s="9" t="s">
        <v>71</v>
      </c>
      <c r="D23" s="8" t="s">
        <v>72</v>
      </c>
      <c r="E23" s="10" t="n">
        <v>3</v>
      </c>
      <c r="F23" s="10" t="n">
        <v>1</v>
      </c>
      <c r="G23" s="11" t="n">
        <f aca="false">E23-F23</f>
        <v>2</v>
      </c>
      <c r="H23" s="8"/>
      <c r="I23" s="8"/>
      <c r="J23" s="12"/>
    </row>
    <row r="24" customFormat="false" ht="15" hidden="false" customHeight="false" outlineLevel="0" collapsed="false">
      <c r="A24" s="8" t="n">
        <v>18</v>
      </c>
      <c r="B24" s="9" t="s">
        <v>73</v>
      </c>
      <c r="C24" s="9" t="s">
        <v>74</v>
      </c>
      <c r="D24" s="8" t="s">
        <v>75</v>
      </c>
      <c r="E24" s="10" t="n">
        <v>30000000</v>
      </c>
      <c r="F24" s="10" t="n">
        <v>30000000</v>
      </c>
      <c r="G24" s="11" t="n">
        <f aca="false">E24-F24</f>
        <v>0</v>
      </c>
      <c r="H24" s="8"/>
      <c r="I24" s="8"/>
      <c r="J24" s="12"/>
    </row>
    <row r="25" customFormat="false" ht="15" hidden="false" customHeight="false" outlineLevel="0" collapsed="false">
      <c r="A25" s="8" t="n">
        <v>19</v>
      </c>
      <c r="B25" s="9" t="s">
        <v>76</v>
      </c>
      <c r="C25" s="9" t="s">
        <v>77</v>
      </c>
      <c r="D25" s="8" t="s">
        <v>78</v>
      </c>
      <c r="E25" s="10" t="n">
        <v>30960000</v>
      </c>
      <c r="F25" s="10" t="n">
        <v>29760000</v>
      </c>
      <c r="G25" s="11" t="n">
        <f aca="false">E25-F25</f>
        <v>1200000</v>
      </c>
      <c r="H25" s="8"/>
      <c r="I25" s="8"/>
      <c r="J25" s="13" t="s">
        <v>79</v>
      </c>
    </row>
    <row r="26" customFormat="false" ht="15" hidden="false" customHeight="false" outlineLevel="0" collapsed="false">
      <c r="A26" s="8" t="n">
        <v>20</v>
      </c>
      <c r="B26" s="9" t="s">
        <v>80</v>
      </c>
      <c r="C26" s="9" t="s">
        <v>81</v>
      </c>
      <c r="D26" s="8" t="s">
        <v>82</v>
      </c>
      <c r="E26" s="10" t="n">
        <v>0</v>
      </c>
      <c r="F26" s="10" t="n">
        <v>0</v>
      </c>
      <c r="G26" s="11" t="n">
        <f aca="false">E26-F26</f>
        <v>0</v>
      </c>
      <c r="H26" s="8"/>
      <c r="I26" s="8"/>
      <c r="J26" s="12"/>
    </row>
    <row r="27" customFormat="false" ht="15" hidden="false" customHeight="false" outlineLevel="0" collapsed="false">
      <c r="A27" s="8" t="n">
        <v>21</v>
      </c>
      <c r="B27" s="9" t="s">
        <v>83</v>
      </c>
      <c r="C27" s="9" t="s">
        <v>84</v>
      </c>
      <c r="D27" s="8" t="s">
        <v>85</v>
      </c>
      <c r="E27" s="10" t="n">
        <v>0</v>
      </c>
      <c r="F27" s="10" t="n">
        <v>1</v>
      </c>
      <c r="G27" s="11" t="n">
        <f aca="false">E27-F27</f>
        <v>-1</v>
      </c>
      <c r="H27" s="8"/>
      <c r="I27" s="8"/>
      <c r="J27" s="12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customFormat="false" ht="21.75" hidden="false" customHeight="true" outlineLevel="0" collapsed="false">
      <c r="A29" s="5" t="s">
        <v>86</v>
      </c>
      <c r="B29" s="5"/>
      <c r="C29" s="5"/>
      <c r="D29" s="5"/>
      <c r="E29" s="5"/>
      <c r="F29" s="5"/>
      <c r="G29" s="5"/>
      <c r="H29" s="5"/>
      <c r="I29" s="5"/>
      <c r="J29" s="5"/>
    </row>
    <row r="30" customFormat="false" ht="30" hidden="false" customHeight="true" outlineLevel="0" collapsed="false">
      <c r="A30" s="6" t="s">
        <v>7</v>
      </c>
      <c r="B30" s="7" t="s">
        <v>8</v>
      </c>
      <c r="C30" s="7" t="s">
        <v>9</v>
      </c>
      <c r="D30" s="6" t="s">
        <v>10</v>
      </c>
      <c r="E30" s="7" t="s">
        <v>11</v>
      </c>
      <c r="F30" s="7" t="s">
        <v>12</v>
      </c>
      <c r="G30" s="7" t="s">
        <v>13</v>
      </c>
      <c r="H30" s="7" t="s">
        <v>14</v>
      </c>
      <c r="I30" s="7" t="s">
        <v>15</v>
      </c>
      <c r="J30" s="7" t="s">
        <v>16</v>
      </c>
    </row>
    <row r="31" customFormat="false" ht="41" hidden="false" customHeight="false" outlineLevel="0" collapsed="false">
      <c r="A31" s="8" t="s">
        <v>87</v>
      </c>
      <c r="B31" s="9" t="s">
        <v>88</v>
      </c>
      <c r="C31" s="9" t="s">
        <v>89</v>
      </c>
      <c r="D31" s="8" t="s">
        <v>90</v>
      </c>
      <c r="E31" s="15" t="n">
        <f aca="false">IFERROR(E9/E7,0)</f>
        <v>0.032258064516129</v>
      </c>
      <c r="F31" s="15" t="n">
        <f aca="false">IFERROR(F9/F7,0)</f>
        <v>0</v>
      </c>
      <c r="G31" s="16" t="n">
        <f aca="false">IFERROR(E31-F31,"")</f>
        <v>0.032258064516129</v>
      </c>
      <c r="H31" s="17" t="n">
        <v>0.01</v>
      </c>
      <c r="I31" s="8" t="str">
        <f aca="false">IF(H31="","",IF(E31&lt;=H31,"OK","要対策 / 대책 필요 / Action needed"))</f>
        <v>要対策 / 대책 필요 / Action needed</v>
      </c>
      <c r="J31" s="12"/>
    </row>
    <row r="32" customFormat="false" ht="15" hidden="false" customHeight="false" outlineLevel="0" collapsed="false">
      <c r="A32" s="8" t="s">
        <v>91</v>
      </c>
      <c r="B32" s="9" t="s">
        <v>92</v>
      </c>
      <c r="C32" s="9" t="s">
        <v>93</v>
      </c>
      <c r="D32" s="8" t="s">
        <v>94</v>
      </c>
      <c r="E32" s="15" t="n">
        <f aca="false">IFERROR(E11/E8,0)</f>
        <v>0.8</v>
      </c>
      <c r="F32" s="15" t="n">
        <f aca="false">IFERROR(F11/F8,0)</f>
        <v>0.806451612903226</v>
      </c>
      <c r="G32" s="16" t="n">
        <f aca="false">IFERROR(E32-F32,"")</f>
        <v>-0.00645161290322571</v>
      </c>
      <c r="H32" s="17" t="n">
        <v>0.8</v>
      </c>
      <c r="I32" s="8" t="str">
        <f aca="false">IF(H32="","",IF(E32&gt;=H32,"OK","要対策 / 대책 필요 / Action needed"))</f>
        <v>OK</v>
      </c>
      <c r="J32" s="12"/>
    </row>
    <row r="33" customFormat="false" ht="15" hidden="false" customHeight="false" outlineLevel="0" collapsed="false">
      <c r="A33" s="8" t="s">
        <v>95</v>
      </c>
      <c r="B33" s="9" t="s">
        <v>96</v>
      </c>
      <c r="C33" s="9" t="s">
        <v>97</v>
      </c>
      <c r="D33" s="8" t="s">
        <v>98</v>
      </c>
      <c r="E33" s="15" t="n">
        <f aca="false">IFERROR(E12/E8,0)</f>
        <v>0.916666666666667</v>
      </c>
      <c r="F33" s="15" t="n">
        <f aca="false">IFERROR(F12/F8,0)</f>
        <v>0.951612903225807</v>
      </c>
      <c r="G33" s="16" t="n">
        <f aca="false">IFERROR(E33-F33,"")</f>
        <v>-0.0349462365591399</v>
      </c>
      <c r="H33" s="17" t="n">
        <v>0.9</v>
      </c>
      <c r="I33" s="8" t="str">
        <f aca="false">IF(H33="","",IF(E33&gt;=H33,"OK","要対策 / 대책 필요 / Action needed"))</f>
        <v>OK</v>
      </c>
      <c r="J33" s="12"/>
    </row>
    <row r="34" customFormat="false" ht="15" hidden="false" customHeight="false" outlineLevel="0" collapsed="false">
      <c r="A34" s="8" t="s">
        <v>99</v>
      </c>
      <c r="B34" s="9" t="s">
        <v>100</v>
      </c>
      <c r="C34" s="9" t="s">
        <v>101</v>
      </c>
      <c r="D34" s="8" t="s">
        <v>102</v>
      </c>
      <c r="E34" s="15" t="n">
        <f aca="false">IFERROR(E14/E15,0)</f>
        <v>0.82</v>
      </c>
      <c r="F34" s="15" t="n">
        <f aca="false">IFERROR(F14/F15,0)</f>
        <v>0.77948717948718</v>
      </c>
      <c r="G34" s="16" t="n">
        <f aca="false">IFERROR(E34-F34,"")</f>
        <v>0.0405128205128205</v>
      </c>
      <c r="H34" s="17" t="n">
        <v>0.8</v>
      </c>
      <c r="I34" s="8" t="str">
        <f aca="false">IF(H34="","",IF(E34&gt;=H34,"OK","要対策 / 대책 필요 / Action needed"))</f>
        <v>OK</v>
      </c>
      <c r="J34" s="12"/>
    </row>
    <row r="35" customFormat="false" ht="29.85" hidden="false" customHeight="false" outlineLevel="0" collapsed="false">
      <c r="A35" s="8" t="s">
        <v>103</v>
      </c>
      <c r="B35" s="9" t="s">
        <v>104</v>
      </c>
      <c r="C35" s="9" t="s">
        <v>105</v>
      </c>
      <c r="D35" s="8" t="s">
        <v>106</v>
      </c>
      <c r="E35" s="18" t="n">
        <f aca="false">IFERROR((E16+E17)/E14*1000,0)</f>
        <v>0.914634146341463</v>
      </c>
      <c r="F35" s="18" t="n">
        <f aca="false">IFERROR((F16+F17)/F14*1000,0)</f>
        <v>0.657894736842105</v>
      </c>
      <c r="G35" s="19" t="n">
        <f aca="false">IFERROR(E35-F35,"")</f>
        <v>0.256739409499358</v>
      </c>
      <c r="H35" s="20" t="n">
        <v>1</v>
      </c>
      <c r="I35" s="8" t="str">
        <f aca="false">IF(H35="","",IF(E35&lt;=H35,"OK","要対策 / 대책 필요 / Action needed"))</f>
        <v>OK</v>
      </c>
      <c r="J35" s="12"/>
    </row>
    <row r="36" customFormat="false" ht="15" hidden="false" customHeight="false" outlineLevel="0" collapsed="false">
      <c r="A36" s="8" t="s">
        <v>107</v>
      </c>
      <c r="B36" s="9" t="s">
        <v>108</v>
      </c>
      <c r="C36" s="9" t="s">
        <v>109</v>
      </c>
      <c r="D36" s="8" t="s">
        <v>110</v>
      </c>
      <c r="E36" s="18" t="n">
        <f aca="false">IFERROR(E22/E14*10000,0)</f>
        <v>4.0650406504065</v>
      </c>
      <c r="F36" s="18" t="n">
        <f aca="false">IFERROR(F22/F14*10000,0)</f>
        <v>2.19298245614035</v>
      </c>
      <c r="G36" s="19" t="n">
        <f aca="false">IFERROR(E36-F36,"")</f>
        <v>1.87205819426615</v>
      </c>
      <c r="H36" s="20" t="n">
        <v>5</v>
      </c>
      <c r="I36" s="8" t="str">
        <f aca="false">IF(H36="","",IF(E36&lt;=H36,"OK","要対策 / 대책 필요 / Action needed"))</f>
        <v>OK</v>
      </c>
      <c r="J36" s="12"/>
    </row>
    <row r="37" customFormat="false" ht="41" hidden="false" customHeight="false" outlineLevel="0" collapsed="false">
      <c r="A37" s="8" t="s">
        <v>111</v>
      </c>
      <c r="B37" s="9" t="s">
        <v>112</v>
      </c>
      <c r="C37" s="9" t="s">
        <v>113</v>
      </c>
      <c r="D37" s="8" t="s">
        <v>114</v>
      </c>
      <c r="E37" s="15" t="n">
        <f aca="false">IFERROR(E25/E24-1,0)</f>
        <v>0.032</v>
      </c>
      <c r="F37" s="15" t="n">
        <f aca="false">IFERROR(F25/F24-1,0)</f>
        <v>-0.00800000000000001</v>
      </c>
      <c r="G37" s="16" t="n">
        <f aca="false">IFERROR(E37-F37,"")</f>
        <v>0.04</v>
      </c>
      <c r="H37" s="17" t="n">
        <v>0</v>
      </c>
      <c r="I37" s="8" t="str">
        <f aca="false">IF(H37="","",IF(E37&lt;=H37,"OK","要対策 / 대책 필요 / Action needed"))</f>
        <v>要対策 / 대책 필요 / Action needed</v>
      </c>
      <c r="J37" s="12"/>
    </row>
    <row r="38" customFormat="false" ht="15" hidden="false" customHeight="false" outlineLevel="0" collapsed="false">
      <c r="A38" s="8" t="s">
        <v>115</v>
      </c>
      <c r="B38" s="8" t="s">
        <v>116</v>
      </c>
      <c r="C38" s="9" t="s">
        <v>117</v>
      </c>
      <c r="D38" s="8" t="s">
        <v>118</v>
      </c>
      <c r="E38" s="21" t="n">
        <f aca="false">IFERROR(E25/E8,0)</f>
        <v>516000</v>
      </c>
      <c r="F38" s="21" t="n">
        <f aca="false">IFERROR(F25/F8,0)</f>
        <v>480000</v>
      </c>
      <c r="G38" s="22" t="n">
        <f aca="false">IFERROR(E38-F38,"")</f>
        <v>36000</v>
      </c>
      <c r="H38" s="10"/>
      <c r="I38" s="8" t="str">
        <f aca="false">IF(H38="","",IF(E38&lt;=H38,"OK","要対策 / 대책 필요 / Action needed"))</f>
        <v/>
      </c>
      <c r="J38" s="12"/>
    </row>
    <row r="39" customFormat="false" ht="15" hidden="false" customHeight="false" outlineLevel="0" collapsed="false">
      <c r="A39" s="8" t="s">
        <v>119</v>
      </c>
      <c r="B39" s="9" t="s">
        <v>120</v>
      </c>
      <c r="C39" s="9" t="s">
        <v>121</v>
      </c>
      <c r="D39" s="8" t="s">
        <v>122</v>
      </c>
      <c r="E39" s="21" t="n">
        <f aca="false">IFERROR(E25/E14,0)</f>
        <v>3146.34146341463</v>
      </c>
      <c r="F39" s="21" t="n">
        <f aca="false">IFERROR(F25/F14,0)</f>
        <v>3263.15789473684</v>
      </c>
      <c r="G39" s="22" t="n">
        <f aca="false">IFERROR(E39-F39,"")</f>
        <v>-116.816431322208</v>
      </c>
      <c r="H39" s="10"/>
      <c r="I39" s="8" t="str">
        <f aca="false">IF(H39="","",IF(E39&lt;=H39,"OK","要対策 / 대책 필요 / Action needed"))</f>
        <v/>
      </c>
      <c r="J39" s="12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customFormat="false" ht="21.75" hidden="false" customHeight="true" outlineLevel="0" collapsed="false">
      <c r="A41" s="5" t="s">
        <v>123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26.85" hidden="false" customHeight="false" outlineLevel="0" collapsed="false">
      <c r="A42" s="23" t="s">
        <v>7</v>
      </c>
      <c r="B42" s="24" t="s">
        <v>124</v>
      </c>
      <c r="C42" s="24" t="s">
        <v>125</v>
      </c>
      <c r="D42" s="14"/>
      <c r="E42" s="24" t="s">
        <v>126</v>
      </c>
      <c r="F42" s="14"/>
      <c r="G42" s="14"/>
      <c r="H42" s="14"/>
      <c r="I42" s="14"/>
      <c r="J42" s="14"/>
    </row>
    <row r="43" customFormat="false" ht="15" hidden="false" customHeight="false" outlineLevel="0" collapsed="false">
      <c r="A43" s="14" t="n">
        <v>1</v>
      </c>
      <c r="B43" s="12" t="s">
        <v>127</v>
      </c>
      <c r="C43" s="13" t="s">
        <v>128</v>
      </c>
      <c r="D43" s="14"/>
      <c r="E43" s="12" t="n">
        <v>1</v>
      </c>
      <c r="F43" s="14"/>
      <c r="G43" s="14"/>
      <c r="H43" s="14"/>
      <c r="I43" s="14"/>
      <c r="J43" s="14"/>
    </row>
    <row r="44" customFormat="false" ht="26.85" hidden="false" customHeight="false" outlineLevel="0" collapsed="false">
      <c r="A44" s="14" t="n">
        <v>2</v>
      </c>
      <c r="B44" s="12" t="s">
        <v>129</v>
      </c>
      <c r="C44" s="13" t="s">
        <v>130</v>
      </c>
      <c r="D44" s="14"/>
      <c r="E44" s="12" t="n">
        <v>1</v>
      </c>
      <c r="F44" s="14"/>
      <c r="G44" s="14"/>
      <c r="H44" s="14"/>
      <c r="I44" s="14"/>
      <c r="J44" s="14"/>
    </row>
    <row r="45" customFormat="false" ht="15" hidden="false" customHeight="false" outlineLevel="0" collapsed="false">
      <c r="A45" s="14" t="n">
        <v>3</v>
      </c>
      <c r="B45" s="12"/>
      <c r="C45" s="12"/>
      <c r="D45" s="14"/>
      <c r="E45" s="12"/>
      <c r="F45" s="14"/>
      <c r="G45" s="14"/>
      <c r="H45" s="14"/>
      <c r="I45" s="14"/>
      <c r="J45" s="14"/>
    </row>
    <row r="46" customFormat="false" ht="15" hidden="false" customHeight="false" outlineLevel="0" collapsed="false">
      <c r="A46" s="14"/>
      <c r="B46" s="14"/>
      <c r="C46" s="25" t="s">
        <v>131</v>
      </c>
      <c r="D46" s="14"/>
      <c r="E46" s="26" t="n">
        <f aca="false">SUM(E43:E45)</f>
        <v>2</v>
      </c>
      <c r="F46" s="27" t="str">
        <f aca="false">IF(E46=E13,"","① の件数と不一致 / ①과 불일치 / does not match ①")</f>
        <v/>
      </c>
      <c r="G46" s="14"/>
      <c r="H46" s="14"/>
      <c r="I46" s="14"/>
      <c r="J46" s="14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customFormat="false" ht="21.75" hidden="false" customHeight="true" outlineLevel="0" collapsed="false">
      <c r="A48" s="5" t="s">
        <v>132</v>
      </c>
      <c r="B48" s="5"/>
      <c r="C48" s="5"/>
      <c r="D48" s="5"/>
      <c r="E48" s="5"/>
      <c r="F48" s="5"/>
      <c r="G48" s="5"/>
      <c r="H48" s="5"/>
      <c r="I48" s="5"/>
      <c r="J48" s="5"/>
    </row>
    <row r="49" customFormat="false" ht="31.5" hidden="false" customHeight="true" outlineLevel="0" collapsed="false">
      <c r="A49" s="14"/>
      <c r="B49" s="28" t="s">
        <v>133</v>
      </c>
      <c r="C49" s="28" t="s">
        <v>134</v>
      </c>
      <c r="D49" s="26" t="s">
        <v>135</v>
      </c>
      <c r="E49" s="29" t="s">
        <v>136</v>
      </c>
      <c r="F49" s="29"/>
      <c r="G49" s="29"/>
      <c r="H49" s="29"/>
      <c r="I49" s="29"/>
      <c r="J49" s="29"/>
    </row>
    <row r="50" customFormat="false" ht="31.5" hidden="false" customHeight="true" outlineLevel="0" collapsed="false">
      <c r="A50" s="14"/>
      <c r="B50" s="28" t="s">
        <v>137</v>
      </c>
      <c r="C50" s="28" t="s">
        <v>138</v>
      </c>
      <c r="D50" s="26" t="s">
        <v>139</v>
      </c>
      <c r="E50" s="29" t="s">
        <v>140</v>
      </c>
      <c r="F50" s="29"/>
      <c r="G50" s="29"/>
      <c r="H50" s="29"/>
      <c r="I50" s="29"/>
      <c r="J50" s="29"/>
    </row>
    <row r="51" customFormat="false" ht="31.5" hidden="false" customHeight="true" outlineLevel="0" collapsed="false">
      <c r="A51" s="14"/>
      <c r="B51" s="28" t="s">
        <v>141</v>
      </c>
      <c r="C51" s="28" t="s">
        <v>142</v>
      </c>
      <c r="D51" s="26" t="s">
        <v>143</v>
      </c>
      <c r="E51" s="29" t="s">
        <v>144</v>
      </c>
      <c r="F51" s="29"/>
      <c r="G51" s="29"/>
      <c r="H51" s="29"/>
      <c r="I51" s="29"/>
      <c r="J51" s="29"/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</row>
  </sheetData>
  <mergeCells count="8">
    <mergeCell ref="A3:J3"/>
    <mergeCell ref="A5:J5"/>
    <mergeCell ref="A29:J29"/>
    <mergeCell ref="A41:J41"/>
    <mergeCell ref="A48:J48"/>
    <mergeCell ref="E49:J49"/>
    <mergeCell ref="E50:J50"/>
    <mergeCell ref="E51:J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7.15" hidden="false" customHeight="false" outlineLevel="0" collapsed="false">
      <c r="B2" s="30" t="s">
        <v>145</v>
      </c>
    </row>
    <row r="3" customFormat="false" ht="15" hidden="false" customHeight="false" outlineLevel="0" collapsed="false">
      <c r="B3" s="31" t="s">
        <v>146</v>
      </c>
    </row>
    <row r="4" customFormat="false" ht="26.85" hidden="false" customHeight="false" outlineLevel="0" collapsed="false">
      <c r="B4" s="32" t="s">
        <v>147</v>
      </c>
    </row>
    <row r="5" customFormat="false" ht="15" hidden="false" customHeight="false" outlineLevel="0" collapsed="false">
      <c r="B5" s="31" t="s">
        <v>148</v>
      </c>
    </row>
    <row r="6" customFormat="false" ht="15" hidden="false" customHeight="false" outlineLevel="0" collapsed="false">
      <c r="B6" s="32" t="s">
        <v>149</v>
      </c>
    </row>
    <row r="7" customFormat="false" ht="15" hidden="false" customHeight="false" outlineLevel="0" collapsed="false">
      <c r="B7" s="31" t="s">
        <v>150</v>
      </c>
    </row>
    <row r="8" customFormat="false" ht="26.85" hidden="false" customHeight="false" outlineLevel="0" collapsed="false">
      <c r="B8" s="32" t="s">
        <v>151</v>
      </c>
    </row>
    <row r="9" customFormat="false" ht="15" hidden="false" customHeight="false" outlineLevel="0" collapsed="false">
      <c r="B9" s="31" t="s">
        <v>152</v>
      </c>
    </row>
    <row r="10" customFormat="false" ht="15" hidden="false" customHeight="false" outlineLevel="0" collapsed="false">
      <c r="B10" s="32" t="s">
        <v>153</v>
      </c>
    </row>
    <row r="11" customFormat="false" ht="15" hidden="false" customHeight="false" outlineLevel="0" collapsed="false">
      <c r="B11" s="31" t="s">
        <v>154</v>
      </c>
    </row>
    <row r="12" customFormat="false" ht="15" hidden="false" customHeight="false" outlineLevel="0" collapsed="false">
      <c r="B12" s="32" t="s">
        <v>155</v>
      </c>
    </row>
    <row r="13" customFormat="false" ht="15" hidden="false" customHeight="false" outlineLevel="0" collapsed="false">
      <c r="B13" s="31"/>
    </row>
    <row r="14" customFormat="false" ht="17.15" hidden="false" customHeight="false" outlineLevel="0" collapsed="false">
      <c r="B14" s="30" t="s">
        <v>156</v>
      </c>
    </row>
    <row r="15" customFormat="false" ht="15" hidden="false" customHeight="false" outlineLevel="0" collapsed="false">
      <c r="B15" s="31" t="s">
        <v>157</v>
      </c>
    </row>
    <row r="16" customFormat="false" ht="26.85" hidden="false" customHeight="false" outlineLevel="0" collapsed="false">
      <c r="B16" s="32" t="s">
        <v>158</v>
      </c>
    </row>
    <row r="17" customFormat="false" ht="15" hidden="false" customHeight="false" outlineLevel="0" collapsed="false">
      <c r="B17" s="31"/>
    </row>
    <row r="18" customFormat="false" ht="15" hidden="false" customHeight="false" outlineLevel="0" collapsed="false">
      <c r="B18" s="31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2026-09-24T17:42:32Z</dcterms:created>
  <dc:creator>openpyxl</dc:creator>
  <dc:description/>
  <dc:language>en-US</dc:language>
  <cp:lastModifiedBy/>
  <dcterms:modified xsi:type="dcterms:W3CDTF">2026-09-24T17:42:32Z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