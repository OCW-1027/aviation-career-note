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便別集計" sheetId="3" state="visible" r:id="rId5"/>
    <sheet name="計算書集計" sheetId="4" state="visible" r:id="rId6"/>
    <sheet name="月次チェック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Noto Sans CJK SC"/>
            <family val="2"/>
          </rPr>
          <t xml:space="preserve">旅客総数 − 区分合計。</t>
        </r>
        <r>
          <rPr>
            <sz val="10"/>
            <rFont val="Arial"/>
            <family val="2"/>
            <charset val="1"/>
          </rPr>
          <t xml:space="preserve">0</t>
        </r>
        <r>
          <rPr>
            <sz val="10"/>
            <rFont val="Noto Sans CJK SC"/>
            <family val="2"/>
            <charset val="1"/>
          </rPr>
          <t xml:space="preserve">でなければ入力漏れ・重複を確認</t>
        </r>
      </text>
    </comment>
    <comment ref="P1" authorId="0">
      <text>
        <r>
          <rPr>
            <sz val="10"/>
            <rFont val="Noto Sans CJK SC"/>
            <family val="2"/>
          </rPr>
          <t xml:space="preserve">空港会社の旅客施設使用料の人数 − 旅客総数。差があれば原因（乗継・幼児・算定方法の違い等）を確認</t>
        </r>
      </text>
    </comment>
  </commentList>
</comments>
</file>

<file path=xl/sharedStrings.xml><?xml version="1.0" encoding="utf-8"?>
<sst xmlns="http://schemas.openxmlformats.org/spreadsheetml/2006/main" count="98" uniqueCount="82">
  <si>
    <t xml:space="preserve">国際観光旅客税 月次集計テンプレート（국제관광여객세 월간 집계 서식）</t>
  </si>
  <si>
    <t xml:space="preserve">■ 使い方（사용법）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</si>
  <si>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  <charset val="1"/>
      </rPr>
      <t xml:space="preserve">「設定」シートで対象年月・会社名・出入国港を入力（「설정」 시트에 대상 연월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회사명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출입국항 입력）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</si>
  <si>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  <charset val="1"/>
      </rPr>
      <t xml:space="preserve">「便別集計」に出国する便を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行ずつ入力。黄色のセルだけ入力し、灰色は自動計算（「편별 집계」에 출국편을 한 줄씩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노란 칸만 입력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회색은 자동 계산）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</si>
  <si>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  <charset val="1"/>
      </rPr>
      <t xml:space="preserve">「差」が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  <charset val="1"/>
      </rPr>
      <t xml:space="preserve">でない行は、区分の人数を見直す。「</t>
    </r>
    <r>
      <rPr>
        <sz val="10"/>
        <color rgb="FF000000"/>
        <rFont val="Arial"/>
        <family val="0"/>
        <charset val="1"/>
      </rPr>
      <t xml:space="preserve">PSFC</t>
    </r>
    <r>
      <rPr>
        <sz val="10"/>
        <color rgb="FF000000"/>
        <rFont val="Noto Sans CJK SC"/>
        <family val="2"/>
        <charset val="1"/>
      </rPr>
      <t xml:space="preserve">差」は空港の旅客施設使用料の人数との照合（「차」가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  <charset val="1"/>
      </rPr>
      <t xml:space="preserve">이 아니면 인원 재확인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「</t>
    </r>
    <r>
      <rPr>
        <sz val="10"/>
        <color rgb="FF000000"/>
        <rFont val="Arial"/>
        <family val="0"/>
        <charset val="1"/>
      </rPr>
      <t xml:space="preserve">PSFC </t>
    </r>
    <r>
      <rPr>
        <sz val="10"/>
        <color rgb="FF000000"/>
        <rFont val="Noto Sans CJK SC"/>
        <family val="2"/>
        <charset val="1"/>
      </rPr>
      <t xml:space="preserve">차」는 여객시설사용료 인원 대조）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</si>
  <si>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  <charset val="1"/>
      </rPr>
      <t xml:space="preserve">「計算書集計」の出入国港ごとの人数・税額を、税務署（</t>
    </r>
    <r>
      <rPr>
        <sz val="10"/>
        <color rgb="FF000000"/>
        <rFont val="Arial"/>
        <family val="0"/>
        <charset val="1"/>
      </rPr>
      <t xml:space="preserve">e-Tax</t>
    </r>
    <r>
      <rPr>
        <sz val="10"/>
        <color rgb="FF000000"/>
        <rFont val="Noto Sans CJK SC"/>
        <family val="2"/>
        <charset val="1"/>
      </rPr>
      <t xml:space="preserve">）などに出す計算書に転記（「계산서 집계」의 항별 인원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세액을 계산서에 옮겨 적기）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</si>
  <si>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Noto Sans CJK SC"/>
        <family val="2"/>
        <charset val="1"/>
      </rPr>
      <t xml:space="preserve">「月次チェック」で証拠・保存・納付を確認（「월차 체크」로 증빙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보존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납부 확인）</t>
    </r>
  </si>
  <si>
    <t xml:space="preserve">■ 制度の要点（제도 요점）</t>
  </si>
  <si>
    <r>
      <rPr>
        <sz val="10"/>
        <color rgb="FF000000"/>
        <rFont val="Noto Sans CJK SC"/>
        <family val="2"/>
        <charset val="1"/>
      </rPr>
      <t xml:space="preserve">・税率：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  <charset val="1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  <charset val="1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日以後の出国は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人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  <charset val="1"/>
      </rPr>
      <t xml:space="preserve">円。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  <charset val="1"/>
      </rPr>
      <t xml:space="preserve">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  <charset val="1"/>
      </rPr>
      <t xml:space="preserve">日までに運送契約（発券）し、出国日が決まっていて、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  <charset val="1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日以後に出国日を変えていない等の場合は旧税率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  <charset val="1"/>
      </rPr>
      <t xml:space="preserve">円（경과 조치）</t>
    </r>
  </si>
  <si>
    <r>
      <rPr>
        <sz val="10"/>
        <color rgb="FF000000"/>
        <rFont val="Noto Sans CJK SC"/>
        <family val="2"/>
        <charset val="1"/>
      </rPr>
      <t xml:space="preserve">・納付期限：出国した月の翌々月末日（例：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  <charset val="1"/>
      </rPr>
      <t xml:space="preserve">月出国分は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  <charset val="1"/>
      </rPr>
      <t xml:space="preserve">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  <charset val="1"/>
      </rPr>
      <t xml:space="preserve">日）（납부 기한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  <charset val="1"/>
      </rPr>
      <t xml:space="preserve">출국한 달의 익익월 말일）</t>
    </r>
  </si>
  <si>
    <r>
      <rPr>
        <sz val="10"/>
        <color rgb="FF000000"/>
        <rFont val="Noto Sans CJK SC"/>
        <family val="2"/>
        <charset val="1"/>
      </rPr>
      <t xml:space="preserve">・不課税：乗員、退去強制等、公用機・公用船、外国に寄らず帰国 など／非課税：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  <charset val="1"/>
      </rPr>
      <t xml:space="preserve">時間以内の乗継、天候等で寄港、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歳未満／免税：外交官等の公用（書類が必要）</t>
    </r>
  </si>
  <si>
    <r>
      <rPr>
        <sz val="10"/>
        <color rgb="FF000000"/>
        <rFont val="Noto Sans CJK SC"/>
        <family val="2"/>
        <charset val="1"/>
      </rPr>
      <t xml:space="preserve">・帳簿は納期限の翌日から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  <charset val="1"/>
      </rPr>
      <t xml:space="preserve">年間保存。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  <charset val="1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  <charset val="1"/>
      </rPr>
      <t xml:space="preserve">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日前の契約で旧税率が適用される旨も記載する（帳簿の記載事項⑪）</t>
    </r>
  </si>
  <si>
    <t xml:space="preserve">■ 注意（주의）</t>
  </si>
  <si>
    <r>
      <rPr>
        <sz val="10"/>
        <color rgb="FF000000"/>
        <rFont val="Noto Sans CJK SC"/>
        <family val="2"/>
        <charset val="1"/>
      </rPr>
      <t xml:space="preserve">・教育・業務補助用の簡易テンプレートです。実際の申告は、国税庁の最新の手引・</t>
    </r>
    <r>
      <rPr>
        <sz val="10"/>
        <color rgb="FF000000"/>
        <rFont val="Arial"/>
        <family val="0"/>
        <charset val="1"/>
      </rPr>
      <t xml:space="preserve">Q&amp;A</t>
    </r>
    <r>
      <rPr>
        <sz val="10"/>
        <color rgb="FF000000"/>
        <rFont val="Noto Sans CJK SC"/>
        <family val="2"/>
        <charset val="1"/>
      </rPr>
      <t xml:space="preserve">と、税理士・社内規程に従ってください。</t>
    </r>
  </si>
  <si>
    <r>
      <rPr>
        <sz val="10"/>
        <color rgb="FF000000"/>
        <rFont val="Noto Sans CJK SC"/>
        <family val="2"/>
        <charset val="1"/>
      </rPr>
      <t xml:space="preserve">・出典：国税庁「国際観光旅客税に関する</t>
    </r>
    <r>
      <rPr>
        <sz val="10"/>
        <color rgb="FF000000"/>
        <rFont val="Arial"/>
        <family val="0"/>
        <charset val="1"/>
      </rPr>
      <t xml:space="preserve">Q&amp;A</t>
    </r>
    <r>
      <rPr>
        <sz val="10"/>
        <color rgb="FF000000"/>
        <rFont val="Noto Sans CJK SC"/>
        <family val="2"/>
        <charset val="1"/>
      </rPr>
      <t xml:space="preserve">」（令和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  <charset val="1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月改訂）ほか。航空キャリアノート（日本支店 人事・財務の実務 </t>
    </r>
    <r>
      <rPr>
        <sz val="10"/>
        <color rgb="FF000000"/>
        <rFont val="Arial"/>
        <family val="0"/>
        <charset val="1"/>
      </rPr>
      <t xml:space="preserve">5-3</t>
    </r>
    <r>
      <rPr>
        <sz val="10"/>
        <color rgb="FF000000"/>
        <rFont val="Noto Sans CJK SC"/>
        <family val="2"/>
        <charset val="1"/>
      </rPr>
      <t xml:space="preserve">）</t>
    </r>
  </si>
  <si>
    <t xml:space="preserve">■ 色の意味（색 구분）</t>
  </si>
  <si>
    <r>
      <rPr>
        <sz val="10"/>
        <color rgb="FF000000"/>
        <rFont val="Noto Sans CJK SC"/>
        <family val="2"/>
        <charset val="1"/>
      </rPr>
      <t xml:space="preserve">黄色＝入力するセル（노란색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  <charset val="1"/>
      </rPr>
      <t xml:space="preserve">입력 칸）</t>
    </r>
  </si>
  <si>
    <r>
      <rPr>
        <sz val="10"/>
        <color rgb="FF000000"/>
        <rFont val="Noto Sans CJK SC"/>
        <family val="2"/>
        <charset val="1"/>
      </rPr>
      <t xml:space="preserve">灰色＝自動計算（회색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  <charset val="1"/>
      </rPr>
      <t xml:space="preserve">자동 계산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수정하지 않음）</t>
    </r>
  </si>
  <si>
    <r>
      <rPr>
        <sz val="10"/>
        <color rgb="FF000000"/>
        <rFont val="Noto Sans CJK SC"/>
        <family val="2"/>
        <charset val="1"/>
      </rPr>
      <t xml:space="preserve">青＝見出し（파란색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  <charset val="1"/>
      </rPr>
      <t xml:space="preserve">제목）</t>
    </r>
  </si>
  <si>
    <t xml:space="preserve">設定（설정）</t>
  </si>
  <si>
    <t xml:space="preserve">対象年月（대상 연월）</t>
  </si>
  <si>
    <r>
      <rPr>
        <sz val="9"/>
        <color rgb="FF595959"/>
        <rFont val="Noto Sans CJK SC"/>
        <family val="2"/>
        <charset val="1"/>
      </rPr>
      <t xml:space="preserve">月の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  <charset val="1"/>
      </rPr>
      <t xml:space="preserve">日を入力（예</t>
    </r>
    <r>
      <rPr>
        <sz val="9"/>
        <color rgb="FF595959"/>
        <rFont val="Arial"/>
        <family val="0"/>
        <charset val="1"/>
      </rPr>
      <t xml:space="preserve">: 2026/07/01</t>
    </r>
    <r>
      <rPr>
        <sz val="9"/>
        <color rgb="FF595959"/>
        <rFont val="Noto Sans CJK SC"/>
        <family val="2"/>
        <charset val="1"/>
      </rPr>
      <t xml:space="preserve">）</t>
    </r>
  </si>
  <si>
    <t xml:space="preserve">会社名（회사명）</t>
  </si>
  <si>
    <t xml:space="preserve">〇〇航空 日本支店</t>
  </si>
  <si>
    <t xml:space="preserve">新税率（円）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</si>
  <si>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  <charset val="1"/>
      </rPr>
      <t xml:space="preserve">年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  <charset val="1"/>
      </rPr>
      <t xml:space="preserve">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  <charset val="1"/>
      </rPr>
      <t xml:space="preserve">日以後の出国</t>
    </r>
  </si>
  <si>
    <t xml:space="preserve">旧税率（円）</t>
  </si>
  <si>
    <t xml:space="preserve">経過措置の対象</t>
  </si>
  <si>
    <t xml:space="preserve">納付期限（납부 기한）</t>
  </si>
  <si>
    <t xml:space="preserve">自動：対象月の翌々月末日</t>
  </si>
  <si>
    <r>
      <rPr>
        <b val="true"/>
        <sz val="10"/>
        <color rgb="FF000000"/>
        <rFont val="Noto Sans CJK SC"/>
        <family val="2"/>
        <charset val="1"/>
      </rPr>
      <t xml:space="preserve">出入国港（출입국항）— 最大</t>
    </r>
    <r>
      <rPr>
        <b val="true"/>
        <sz val="10"/>
        <color rgb="FF000000"/>
        <rFont val="Arial"/>
        <family val="0"/>
        <charset val="1"/>
      </rPr>
      <t xml:space="preserve">6</t>
    </r>
  </si>
  <si>
    <t xml:space="preserve">NRT</t>
  </si>
  <si>
    <t xml:space="preserve">HND</t>
  </si>
  <si>
    <t xml:space="preserve">KIX</t>
  </si>
  <si>
    <t xml:space="preserve">日付
날짜</t>
  </si>
  <si>
    <t xml:space="preserve">便名
편명</t>
  </si>
  <si>
    <t xml:space="preserve">区間
구간</t>
  </si>
  <si>
    <t xml:space="preserve">出国港
출국항</t>
  </si>
  <si>
    <t xml:space="preserve">出発時刻
출발</t>
  </si>
  <si>
    <t xml:space="preserve">旅客総数
여객 총수</t>
  </si>
  <si>
    <r>
      <rPr>
        <b val="true"/>
        <sz val="10"/>
        <color rgb="FF000000"/>
        <rFont val="Noto Sans CJK SC"/>
        <family val="2"/>
        <charset val="1"/>
      </rPr>
      <t xml:space="preserve">課税（新税率）
과세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신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</si>
  <si>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  <charset val="1"/>
      </rPr>
      <t xml:space="preserve">課税（旧税率）
과세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구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</si>
  <si>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不課税
불과세</t>
  </si>
  <si>
    <t xml:space="preserve">非課税
비과세</t>
  </si>
  <si>
    <t xml:space="preserve">免税
면세</t>
  </si>
  <si>
    <t xml:space="preserve">区分合計
구분 합계</t>
  </si>
  <si>
    <t xml:space="preserve">差
차</t>
  </si>
  <si>
    <t xml:space="preserve">税額（円）
세액</t>
  </si>
  <si>
    <r>
      <rPr>
        <b val="true"/>
        <sz val="10"/>
        <color rgb="FF000000"/>
        <rFont val="Arial"/>
        <family val="0"/>
        <charset val="1"/>
      </rPr>
      <t xml:space="preserve">PSFC</t>
    </r>
    <r>
      <rPr>
        <b val="true"/>
        <sz val="10"/>
        <color rgb="FF000000"/>
        <rFont val="Noto Sans CJK SC"/>
        <family val="2"/>
        <charset val="1"/>
      </rPr>
      <t xml:space="preserve">人数
시설사용료 인원</t>
    </r>
  </si>
  <si>
    <r>
      <rPr>
        <b val="true"/>
        <sz val="10"/>
        <color rgb="FF000000"/>
        <rFont val="Arial"/>
        <family val="0"/>
        <charset val="1"/>
      </rPr>
      <t xml:space="preserve">PSFC</t>
    </r>
    <r>
      <rPr>
        <b val="true"/>
        <sz val="10"/>
        <color rgb="FF000000"/>
        <rFont val="Noto Sans CJK SC"/>
        <family val="2"/>
        <charset val="1"/>
      </rPr>
      <t xml:space="preserve">差
대조 차</t>
    </r>
  </si>
  <si>
    <r>
      <rPr>
        <b val="true"/>
        <sz val="10"/>
        <color rgb="FF000000"/>
        <rFont val="Noto Sans CJK SC"/>
        <family val="2"/>
        <charset val="1"/>
      </rPr>
      <t xml:space="preserve">備考（根拠）
비고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근거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</si>
  <si>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XX123</t>
  </si>
  <si>
    <t xml:space="preserve">NRT-ICN</t>
  </si>
  <si>
    <r>
      <rPr>
        <i val="true"/>
        <sz val="10"/>
        <color rgb="FF7F7F7F"/>
        <rFont val="Noto Sans CJK SC"/>
        <family val="2"/>
        <charset val="1"/>
      </rPr>
      <t xml:space="preserve">例（削除して使用）：</t>
    </r>
    <r>
      <rPr>
        <i val="true"/>
        <sz val="10"/>
        <color rgb="FF7F7F7F"/>
        <rFont val="Arial"/>
        <family val="0"/>
        <charset val="1"/>
      </rPr>
      <t xml:space="preserve">INF 2</t>
    </r>
    <r>
      <rPr>
        <i val="true"/>
        <sz val="10"/>
        <color rgb="FF7F7F7F"/>
        <rFont val="Noto Sans CJK SC"/>
        <family val="2"/>
        <charset val="1"/>
      </rPr>
      <t xml:space="preserve">・退去強制 </t>
    </r>
    <r>
      <rPr>
        <i val="true"/>
        <sz val="10"/>
        <color rgb="FF7F7F7F"/>
        <rFont val="Arial"/>
        <family val="0"/>
        <charset val="1"/>
      </rPr>
      <t xml:space="preserve">1</t>
    </r>
    <r>
      <rPr>
        <i val="true"/>
        <sz val="10"/>
        <color rgb="FF7F7F7F"/>
        <rFont val="Noto Sans CJK SC"/>
        <family val="2"/>
        <charset val="1"/>
      </rPr>
      <t xml:space="preserve">・免税出国表 </t>
    </r>
    <r>
      <rPr>
        <i val="true"/>
        <sz val="10"/>
        <color rgb="FF7F7F7F"/>
        <rFont val="Arial"/>
        <family val="0"/>
        <charset val="1"/>
      </rPr>
      <t xml:space="preserve">1</t>
    </r>
  </si>
  <si>
    <t xml:space="preserve">合計（합계）</t>
  </si>
  <si>
    <r>
      <rPr>
        <sz val="9"/>
        <color rgb="FF595959"/>
        <rFont val="Noto Sans CJK SC"/>
        <family val="2"/>
        <charset val="1"/>
      </rPr>
      <t xml:space="preserve">※ 合計は例の行（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  <charset val="1"/>
      </rPr>
      <t xml:space="preserve">行目）を除いて計算（합계는 예시 행 제외）</t>
    </r>
  </si>
  <si>
    <t xml:space="preserve">計算書集計（계산서 집계）</t>
  </si>
  <si>
    <t xml:space="preserve">対象年月</t>
  </si>
  <si>
    <t xml:space="preserve">納付期限</t>
  </si>
  <si>
    <t xml:space="preserve">出入国港
출입국항</t>
  </si>
  <si>
    <r>
      <rPr>
        <b val="true"/>
        <sz val="10"/>
        <color rgb="FF000000"/>
        <rFont val="Noto Sans CJK SC"/>
        <family val="2"/>
        <charset val="1"/>
      </rPr>
      <t xml:space="preserve">課税（新）
과세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신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</si>
  <si>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  <charset val="1"/>
      </rPr>
      <t xml:space="preserve">課税（旧）
과세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구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</si>
  <si>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課税される人数
과세 인원</t>
  </si>
  <si>
    <t xml:space="preserve">合計</t>
  </si>
  <si>
    <t xml:space="preserve">確認（확인）</t>
  </si>
  <si>
    <t xml:space="preserve">※ 計算書には、出入国港ごとの人数と、課税されない人（不課税・非課税・免税）の人数を書く。書き方は国税庁の最新の様式で確認。</t>
  </si>
  <si>
    <t xml:space="preserve">月次チェックリスト（월차 체크리스트）</t>
  </si>
  <si>
    <t xml:space="preserve">済
완료</t>
  </si>
  <si>
    <t xml:space="preserve">項目（항목）</t>
  </si>
  <si>
    <r>
      <rPr>
        <b val="true"/>
        <sz val="10"/>
        <color rgb="FF000000"/>
        <rFont val="Noto Sans CJK SC"/>
        <family val="2"/>
        <charset val="1"/>
      </rPr>
      <t xml:space="preserve">担当・日付（담당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  <charset val="1"/>
      </rPr>
      <t xml:space="preserve">날짜）</t>
    </r>
  </si>
  <si>
    <t xml:space="preserve">☐</t>
  </si>
  <si>
    <r>
      <rPr>
        <sz val="10"/>
        <color rgb="FF000000"/>
        <rFont val="Noto Sans CJK SC"/>
        <family val="2"/>
        <charset val="1"/>
      </rPr>
      <t xml:space="preserve">毎日：</t>
    </r>
    <r>
      <rPr>
        <sz val="10"/>
        <color rgb="FF000000"/>
        <rFont val="Arial"/>
        <family val="0"/>
        <charset val="1"/>
      </rPr>
      <t xml:space="preserve">DCS</t>
    </r>
    <r>
      <rPr>
        <sz val="10"/>
        <color rgb="FF000000"/>
        <rFont val="Noto Sans CJK SC"/>
        <family val="2"/>
        <charset val="1"/>
      </rPr>
      <t xml:space="preserve">・</t>
    </r>
    <r>
      <rPr>
        <sz val="10"/>
        <color rgb="FF000000"/>
        <rFont val="Arial"/>
        <family val="0"/>
        <charset val="1"/>
      </rPr>
      <t xml:space="preserve">APIS</t>
    </r>
    <r>
      <rPr>
        <sz val="10"/>
        <color rgb="FF000000"/>
        <rFont val="Noto Sans CJK SC"/>
        <family val="2"/>
        <charset val="1"/>
      </rPr>
      <t xml:space="preserve">の搭乗実績で便ごとに入力（매일 </t>
    </r>
    <r>
      <rPr>
        <sz val="10"/>
        <color rgb="FF000000"/>
        <rFont val="Arial"/>
        <family val="0"/>
        <charset val="1"/>
      </rPr>
      <t xml:space="preserve">DCS·APIS</t>
    </r>
    <r>
      <rPr>
        <sz val="10"/>
        <color rgb="FF000000"/>
        <rFont val="Noto Sans CJK SC"/>
        <family val="2"/>
        <charset val="1"/>
      </rPr>
      <t xml:space="preserve">로 편별 입력）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</si>
  <si>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歳未満（</t>
    </r>
    <r>
      <rPr>
        <sz val="10"/>
        <color rgb="FF000000"/>
        <rFont val="Arial"/>
        <family val="0"/>
        <charset val="1"/>
      </rPr>
      <t xml:space="preserve">INF</t>
    </r>
    <r>
      <rPr>
        <sz val="10"/>
        <color rgb="FF000000"/>
        <rFont val="Noto Sans CJK SC"/>
        <family val="2"/>
        <charset val="1"/>
      </rPr>
      <t xml:space="preserve">）の人数を</t>
    </r>
    <r>
      <rPr>
        <sz val="10"/>
        <color rgb="FF000000"/>
        <rFont val="Arial"/>
        <family val="0"/>
        <charset val="1"/>
      </rPr>
      <t xml:space="preserve">DCS</t>
    </r>
    <r>
      <rPr>
        <sz val="10"/>
        <color rgb="FF000000"/>
        <rFont val="Noto Sans CJK SC"/>
        <family val="2"/>
        <charset val="1"/>
      </rPr>
      <t xml:space="preserve">・</t>
    </r>
    <r>
      <rPr>
        <sz val="10"/>
        <color rgb="FF000000"/>
        <rFont val="Arial"/>
        <family val="0"/>
        <charset val="1"/>
      </rPr>
      <t xml:space="preserve">APIS</t>
    </r>
    <r>
      <rPr>
        <sz val="10"/>
        <color rgb="FF000000"/>
        <rFont val="Noto Sans CJK SC"/>
        <family val="2"/>
        <charset val="1"/>
      </rPr>
      <t xml:space="preserve">で確認（유아 인원 확인）</t>
    </r>
  </si>
  <si>
    <t xml:space="preserve">乗継・不課税・免税の根拠を保存（航空券の旅程、免税出国表の原本など）（근거 보존）</t>
  </si>
  <si>
    <r>
      <rPr>
        <sz val="10"/>
        <color rgb="FF000000"/>
        <rFont val="Noto Sans CJK SC"/>
        <family val="2"/>
        <charset val="1"/>
      </rPr>
      <t xml:space="preserve">経過措置（旧税率）の旅客：発券日・出国日の変更履歴を確認（구 세율 대상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  <charset val="1"/>
      </rPr>
      <t xml:space="preserve">발권일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변경 이력 확인）</t>
    </r>
  </si>
  <si>
    <r>
      <rPr>
        <sz val="10"/>
        <color rgb="FF000000"/>
        <rFont val="Noto Sans CJK SC"/>
        <family val="2"/>
        <charset val="1"/>
      </rPr>
      <t xml:space="preserve">月末：「差」がすべて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  <charset val="1"/>
      </rPr>
      <t xml:space="preserve">か確認（월말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  <charset val="1"/>
      </rPr>
      <t xml:space="preserve">차가 모두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  <charset val="1"/>
      </rPr>
      <t xml:space="preserve">인지）</t>
    </r>
  </si>
  <si>
    <t xml:space="preserve">月末：空港会社の旅客施設使用料の人数と照合し、差の原因を記録（시설사용료 인원 대조）</t>
  </si>
  <si>
    <t xml:space="preserve">コードシェア便：免税書類の写しを販売した会社から入手できるか確認（코드셰어 면세 서류 사본）</t>
  </si>
  <si>
    <r>
      <rPr>
        <sz val="10"/>
        <color rgb="FF000000"/>
        <rFont val="Noto Sans CJK SC"/>
        <family val="2"/>
        <charset val="1"/>
      </rPr>
      <t xml:space="preserve">翌月：支払いの決裁・伝票（預り金）を処理（지급 결재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전표）</t>
    </r>
  </si>
  <si>
    <t xml:space="preserve">翌月：集計表と証拠を税理士に渡し、計算書の作成を依頼（세리사에게 계산서 작성 의뢰）</t>
  </si>
  <si>
    <r>
      <rPr>
        <sz val="10"/>
        <color rgb="FF000000"/>
        <rFont val="Noto Sans CJK SC"/>
        <family val="2"/>
        <charset val="1"/>
      </rPr>
      <t xml:space="preserve">納付：期限（翌々月末日）の前に納付・計算書を提出（기한 전 납부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제출）</t>
    </r>
  </si>
  <si>
    <r>
      <rPr>
        <sz val="10"/>
        <color rgb="FF000000"/>
        <rFont val="Noto Sans CJK SC"/>
        <family val="2"/>
        <charset val="1"/>
      </rPr>
      <t xml:space="preserve">保存：帳簿・証拠を納期限の翌日から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  <charset val="1"/>
      </rPr>
      <t xml:space="preserve">年間保存（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  <charset val="1"/>
      </rPr>
      <t xml:space="preserve">년 보존）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</si>
</sst>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"/>
    <numFmt numFmtId="166" formatCode="#,##0"/>
    <numFmt numFmtId="167" formatCode="yyyy/mm/dd"/>
    <numFmt numFmtId="168" formatCode="mm/dd"/>
    <numFmt numFmtId="169" formatCode="hh:mm"/>
    <numFmt numFmtId="170" formatCode="#,##0;[RED]\-#,##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b val="true"/>
      <sz val="12"/>
      <color rgb="FF000000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7F7F7F"/>
      <name val="Noto Sans CJK SC"/>
      <family val="2"/>
      <charset val="1"/>
    </font>
    <font>
      <sz val="10"/>
      <name val="Noto Sans CJK SC"/>
      <family val="2"/>
    </font>
    <font>
      <sz val="10"/>
      <name val="Arial"/>
      <family val="2"/>
      <charset val="1"/>
    </font>
    <font>
      <sz val="10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5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3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13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5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0.1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7.15" hidden="false" customHeight="false" outlineLevel="0" collapsed="false">
      <c r="A3" s="4" t="s">
        <v>1</v>
      </c>
    </row>
    <row r="4" customFormat="false" ht="15" hidden="false" customHeight="false" outlineLevel="0" collapsed="false">
      <c r="A4" s="3" t="s">
        <v>2</v>
      </c>
    </row>
    <row r="5" customFormat="false" ht="29.85" hidden="false" customHeight="false" outlineLevel="0" collapsed="false">
      <c r="A5" s="3" t="s">
        <v>3</v>
      </c>
    </row>
    <row r="6" customFormat="false" ht="29.85" hidden="false" customHeight="false" outlineLevel="0" collapsed="false">
      <c r="A6" s="3" t="s">
        <v>4</v>
      </c>
    </row>
    <row r="7" customFormat="false" ht="29.8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7.15" hidden="false" customHeight="false" outlineLevel="0" collapsed="false">
      <c r="A10" s="4" t="s">
        <v>7</v>
      </c>
    </row>
    <row r="11" customFormat="false" ht="29.8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29.8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3"/>
    </row>
    <row r="16" customFormat="false" ht="17.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3"/>
    </row>
    <row r="20" customFormat="false" ht="17.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7" t="s">
        <v>17</v>
      </c>
    </row>
    <row r="23" customFormat="false" ht="15" hidden="false" customHeight="false" outlineLevel="0" collapsed="false">
      <c r="A23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34"/>
  </cols>
  <sheetData>
    <row r="1" customFormat="false" ht="19.4" hidden="false" customHeight="false" outlineLevel="0" collapsed="false">
      <c r="A1" s="9" t="s">
        <v>19</v>
      </c>
    </row>
    <row r="3" customFormat="false" ht="15" hidden="false" customHeight="false" outlineLevel="0" collapsed="false">
      <c r="A3" s="10" t="s">
        <v>20</v>
      </c>
      <c r="B3" s="11" t="n">
        <v>46204</v>
      </c>
      <c r="C3" s="12" t="s">
        <v>21</v>
      </c>
    </row>
    <row r="4" customFormat="false" ht="15" hidden="false" customHeight="false" outlineLevel="0" collapsed="false">
      <c r="A4" s="10" t="s">
        <v>22</v>
      </c>
      <c r="B4" s="13" t="s">
        <v>23</v>
      </c>
      <c r="C4" s="12"/>
    </row>
    <row r="5" customFormat="false" ht="15" hidden="false" customHeight="false" outlineLevel="0" collapsed="false">
      <c r="A5" s="10" t="s">
        <v>24</v>
      </c>
      <c r="B5" s="14" t="n">
        <v>3000</v>
      </c>
      <c r="C5" s="15" t="s">
        <v>25</v>
      </c>
    </row>
    <row r="6" customFormat="false" ht="15" hidden="false" customHeight="false" outlineLevel="0" collapsed="false">
      <c r="A6" s="10" t="s">
        <v>26</v>
      </c>
      <c r="B6" s="14" t="n">
        <v>1000</v>
      </c>
      <c r="C6" s="12" t="s">
        <v>27</v>
      </c>
    </row>
    <row r="7" customFormat="false" ht="15" hidden="false" customHeight="false" outlineLevel="0" collapsed="false">
      <c r="A7" s="10" t="s">
        <v>28</v>
      </c>
      <c r="B7" s="16" t="n">
        <f aca="false">EOMONTH(B3,2)</f>
        <v>46295</v>
      </c>
      <c r="C7" s="12" t="s">
        <v>29</v>
      </c>
    </row>
    <row r="9" customFormat="false" ht="15" hidden="false" customHeight="false" outlineLevel="0" collapsed="false">
      <c r="A9" s="10" t="s">
        <v>30</v>
      </c>
    </row>
    <row r="10" customFormat="false" ht="15" hidden="false" customHeight="false" outlineLevel="0" collapsed="false">
      <c r="A10" s="17" t="s">
        <v>31</v>
      </c>
    </row>
    <row r="11" customFormat="false" ht="15" hidden="false" customHeight="false" outlineLevel="0" collapsed="false">
      <c r="A11" s="17" t="s">
        <v>32</v>
      </c>
    </row>
    <row r="12" customFormat="false" ht="15" hidden="false" customHeight="false" outlineLevel="0" collapsed="false">
      <c r="A12" s="17" t="s">
        <v>33</v>
      </c>
    </row>
    <row r="13" customFormat="false" ht="15" hidden="false" customHeight="false" outlineLevel="0" collapsed="false">
      <c r="A13" s="17"/>
    </row>
    <row r="14" customFormat="false" ht="15" hidden="false" customHeight="false" outlineLevel="0" collapsed="false">
      <c r="A14" s="17"/>
    </row>
    <row r="15" customFormat="false" ht="15" hidden="false" customHeight="false" outlineLevel="0" collapsed="false">
      <c r="A15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9"/>
    <col collapsed="false" customWidth="true" hidden="false" outlineLevel="0" max="8" min="7" style="1" width="10"/>
    <col collapsed="false" customWidth="true" hidden="false" outlineLevel="0" max="10" min="9" style="1" width="8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6"/>
    <col collapsed="false" customWidth="true" hidden="false" outlineLevel="0" max="14" min="14" style="1" width="12"/>
    <col collapsed="false" customWidth="true" hidden="false" outlineLevel="0" max="15" min="15" style="1" width="11"/>
    <col collapsed="false" customWidth="true" hidden="false" outlineLevel="0" max="16" min="16" style="1" width="8"/>
    <col collapsed="false" customWidth="true" hidden="false" outlineLevel="0" max="17" min="17" style="1" width="34"/>
  </cols>
  <sheetData>
    <row r="1" customFormat="false" ht="36" hidden="false" customHeight="true" outlineLevel="0" collapsed="false">
      <c r="A1" s="18" t="s">
        <v>34</v>
      </c>
      <c r="B1" s="18" t="s">
        <v>35</v>
      </c>
      <c r="C1" s="18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  <c r="I1" s="18" t="s">
        <v>42</v>
      </c>
      <c r="J1" s="18" t="s">
        <v>43</v>
      </c>
      <c r="K1" s="18" t="s">
        <v>44</v>
      </c>
      <c r="L1" s="18" t="s">
        <v>45</v>
      </c>
      <c r="M1" s="18" t="s">
        <v>46</v>
      </c>
      <c r="N1" s="18" t="s">
        <v>47</v>
      </c>
      <c r="O1" s="19" t="s">
        <v>48</v>
      </c>
      <c r="P1" s="19" t="s">
        <v>49</v>
      </c>
      <c r="Q1" s="18" t="s">
        <v>50</v>
      </c>
    </row>
    <row r="2" customFormat="false" ht="29.85" hidden="false" customHeight="false" outlineLevel="0" collapsed="false">
      <c r="A2" s="20" t="n">
        <v>46206</v>
      </c>
      <c r="B2" s="21" t="s">
        <v>51</v>
      </c>
      <c r="C2" s="21" t="s">
        <v>52</v>
      </c>
      <c r="D2" s="21" t="s">
        <v>31</v>
      </c>
      <c r="E2" s="22" t="n">
        <v>0.416666666666667</v>
      </c>
      <c r="F2" s="23" t="n">
        <v>294</v>
      </c>
      <c r="G2" s="23" t="n">
        <v>250</v>
      </c>
      <c r="H2" s="23" t="n">
        <v>40</v>
      </c>
      <c r="I2" s="23" t="n">
        <v>1</v>
      </c>
      <c r="J2" s="23" t="n">
        <v>2</v>
      </c>
      <c r="K2" s="23" t="n">
        <v>1</v>
      </c>
      <c r="L2" s="24" t="n">
        <f aca="false">IF(F2="","",SUM(G2:K2))</f>
        <v>294</v>
      </c>
      <c r="M2" s="24" t="n">
        <f aca="false">IF(F2="","",F2-L2)</f>
        <v>0</v>
      </c>
      <c r="N2" s="25" t="n">
        <f aca="false">IF(F2="","",G2*設定!$B$5+H2*設定!$B$6)</f>
        <v>790000</v>
      </c>
      <c r="O2" s="23" t="n">
        <v>294</v>
      </c>
      <c r="P2" s="24" t="n">
        <f aca="false">IF(OR(O2="",F2=""),"",O2-F2)</f>
        <v>0</v>
      </c>
      <c r="Q2" s="26" t="s">
        <v>53</v>
      </c>
    </row>
    <row r="3" customFormat="false" ht="15" hidden="false" customHeight="false" outlineLevel="0" collapsed="false">
      <c r="A3" s="27"/>
      <c r="B3" s="28"/>
      <c r="C3" s="28"/>
      <c r="D3" s="28"/>
      <c r="E3" s="29"/>
      <c r="F3" s="30"/>
      <c r="G3" s="30"/>
      <c r="H3" s="30"/>
      <c r="I3" s="30"/>
      <c r="J3" s="30"/>
      <c r="K3" s="30"/>
      <c r="L3" s="31" t="str">
        <f aca="false">IF(F3="","",SUM(G3:K3))</f>
        <v/>
      </c>
      <c r="M3" s="31" t="str">
        <f aca="false">IF(F3="","",F3-L3)</f>
        <v/>
      </c>
      <c r="N3" s="32" t="str">
        <f aca="false">IF(F3="","",G3*設定!$B$5+H3*設定!$B$6)</f>
        <v/>
      </c>
      <c r="O3" s="30"/>
      <c r="P3" s="31" t="str">
        <f aca="false">IF(OR(O3="",F3=""),"",O3-F3)</f>
        <v/>
      </c>
      <c r="Q3" s="33"/>
    </row>
    <row r="4" customFormat="false" ht="15" hidden="false" customHeight="false" outlineLevel="0" collapsed="false">
      <c r="A4" s="27"/>
      <c r="B4" s="28"/>
      <c r="C4" s="28"/>
      <c r="D4" s="28"/>
      <c r="E4" s="29"/>
      <c r="F4" s="30"/>
      <c r="G4" s="30"/>
      <c r="H4" s="30"/>
      <c r="I4" s="30"/>
      <c r="J4" s="30"/>
      <c r="K4" s="30"/>
      <c r="L4" s="31" t="str">
        <f aca="false">IF(F4="","",SUM(G4:K4))</f>
        <v/>
      </c>
      <c r="M4" s="31" t="str">
        <f aca="false">IF(F4="","",F4-L4)</f>
        <v/>
      </c>
      <c r="N4" s="32" t="str">
        <f aca="false">IF(F4="","",G4*設定!$B$5+H4*設定!$B$6)</f>
        <v/>
      </c>
      <c r="O4" s="30"/>
      <c r="P4" s="31" t="str">
        <f aca="false">IF(OR(O4="",F4=""),"",O4-F4)</f>
        <v/>
      </c>
      <c r="Q4" s="33"/>
    </row>
    <row r="5" customFormat="false" ht="15" hidden="false" customHeight="false" outlineLevel="0" collapsed="false">
      <c r="A5" s="27"/>
      <c r="B5" s="28"/>
      <c r="C5" s="28"/>
      <c r="D5" s="28"/>
      <c r="E5" s="29"/>
      <c r="F5" s="30"/>
      <c r="G5" s="30"/>
      <c r="H5" s="30"/>
      <c r="I5" s="30"/>
      <c r="J5" s="30"/>
      <c r="K5" s="30"/>
      <c r="L5" s="31" t="str">
        <f aca="false">IF(F5="","",SUM(G5:K5))</f>
        <v/>
      </c>
      <c r="M5" s="31" t="str">
        <f aca="false">IF(F5="","",F5-L5)</f>
        <v/>
      </c>
      <c r="N5" s="32" t="str">
        <f aca="false">IF(F5="","",G5*設定!$B$5+H5*設定!$B$6)</f>
        <v/>
      </c>
      <c r="O5" s="30"/>
      <c r="P5" s="31" t="str">
        <f aca="false">IF(OR(O5="",F5=""),"",O5-F5)</f>
        <v/>
      </c>
      <c r="Q5" s="33"/>
    </row>
    <row r="6" customFormat="false" ht="15" hidden="false" customHeight="false" outlineLevel="0" collapsed="false">
      <c r="A6" s="27"/>
      <c r="B6" s="28"/>
      <c r="C6" s="28"/>
      <c r="D6" s="28"/>
      <c r="E6" s="29"/>
      <c r="F6" s="30"/>
      <c r="G6" s="30"/>
      <c r="H6" s="30"/>
      <c r="I6" s="30"/>
      <c r="J6" s="30"/>
      <c r="K6" s="30"/>
      <c r="L6" s="31" t="str">
        <f aca="false">IF(F6="","",SUM(G6:K6))</f>
        <v/>
      </c>
      <c r="M6" s="31" t="str">
        <f aca="false">IF(F6="","",F6-L6)</f>
        <v/>
      </c>
      <c r="N6" s="32" t="str">
        <f aca="false">IF(F6="","",G6*設定!$B$5+H6*設定!$B$6)</f>
        <v/>
      </c>
      <c r="O6" s="30"/>
      <c r="P6" s="31" t="str">
        <f aca="false">IF(OR(O6="",F6=""),"",O6-F6)</f>
        <v/>
      </c>
      <c r="Q6" s="33"/>
    </row>
    <row r="7" customFormat="false" ht="15" hidden="false" customHeight="false" outlineLevel="0" collapsed="false">
      <c r="A7" s="27"/>
      <c r="B7" s="28"/>
      <c r="C7" s="28"/>
      <c r="D7" s="28"/>
      <c r="E7" s="29"/>
      <c r="F7" s="30"/>
      <c r="G7" s="30"/>
      <c r="H7" s="30"/>
      <c r="I7" s="30"/>
      <c r="J7" s="30"/>
      <c r="K7" s="30"/>
      <c r="L7" s="31" t="str">
        <f aca="false">IF(F7="","",SUM(G7:K7))</f>
        <v/>
      </c>
      <c r="M7" s="31" t="str">
        <f aca="false">IF(F7="","",F7-L7)</f>
        <v/>
      </c>
      <c r="N7" s="32" t="str">
        <f aca="false">IF(F7="","",G7*設定!$B$5+H7*設定!$B$6)</f>
        <v/>
      </c>
      <c r="O7" s="30"/>
      <c r="P7" s="31" t="str">
        <f aca="false">IF(OR(O7="",F7=""),"",O7-F7)</f>
        <v/>
      </c>
      <c r="Q7" s="33"/>
    </row>
    <row r="8" customFormat="false" ht="15" hidden="false" customHeight="false" outlineLevel="0" collapsed="false">
      <c r="A8" s="27"/>
      <c r="B8" s="28"/>
      <c r="C8" s="28"/>
      <c r="D8" s="28"/>
      <c r="E8" s="29"/>
      <c r="F8" s="30"/>
      <c r="G8" s="30"/>
      <c r="H8" s="30"/>
      <c r="I8" s="30"/>
      <c r="J8" s="30"/>
      <c r="K8" s="30"/>
      <c r="L8" s="31" t="str">
        <f aca="false">IF(F8="","",SUM(G8:K8))</f>
        <v/>
      </c>
      <c r="M8" s="31" t="str">
        <f aca="false">IF(F8="","",F8-L8)</f>
        <v/>
      </c>
      <c r="N8" s="32" t="str">
        <f aca="false">IF(F8="","",G8*設定!$B$5+H8*設定!$B$6)</f>
        <v/>
      </c>
      <c r="O8" s="30"/>
      <c r="P8" s="31" t="str">
        <f aca="false">IF(OR(O8="",F8=""),"",O8-F8)</f>
        <v/>
      </c>
      <c r="Q8" s="33"/>
    </row>
    <row r="9" customFormat="false" ht="15" hidden="false" customHeight="false" outlineLevel="0" collapsed="false">
      <c r="A9" s="27"/>
      <c r="B9" s="28"/>
      <c r="C9" s="28"/>
      <c r="D9" s="28"/>
      <c r="E9" s="29"/>
      <c r="F9" s="30"/>
      <c r="G9" s="30"/>
      <c r="H9" s="30"/>
      <c r="I9" s="30"/>
      <c r="J9" s="30"/>
      <c r="K9" s="30"/>
      <c r="L9" s="31" t="str">
        <f aca="false">IF(F9="","",SUM(G9:K9))</f>
        <v/>
      </c>
      <c r="M9" s="31" t="str">
        <f aca="false">IF(F9="","",F9-L9)</f>
        <v/>
      </c>
      <c r="N9" s="32" t="str">
        <f aca="false">IF(F9="","",G9*設定!$B$5+H9*設定!$B$6)</f>
        <v/>
      </c>
      <c r="O9" s="30"/>
      <c r="P9" s="31" t="str">
        <f aca="false">IF(OR(O9="",F9=""),"",O9-F9)</f>
        <v/>
      </c>
      <c r="Q9" s="33"/>
    </row>
    <row r="10" customFormat="false" ht="15" hidden="false" customHeight="false" outlineLevel="0" collapsed="false">
      <c r="A10" s="27"/>
      <c r="B10" s="28"/>
      <c r="C10" s="28"/>
      <c r="D10" s="28"/>
      <c r="E10" s="29"/>
      <c r="F10" s="30"/>
      <c r="G10" s="30"/>
      <c r="H10" s="30"/>
      <c r="I10" s="30"/>
      <c r="J10" s="30"/>
      <c r="K10" s="30"/>
      <c r="L10" s="31" t="str">
        <f aca="false">IF(F10="","",SUM(G10:K10))</f>
        <v/>
      </c>
      <c r="M10" s="31" t="str">
        <f aca="false">IF(F10="","",F10-L10)</f>
        <v/>
      </c>
      <c r="N10" s="32" t="str">
        <f aca="false">IF(F10="","",G10*設定!$B$5+H10*設定!$B$6)</f>
        <v/>
      </c>
      <c r="O10" s="30"/>
      <c r="P10" s="31" t="str">
        <f aca="false">IF(OR(O10="",F10=""),"",O10-F10)</f>
        <v/>
      </c>
      <c r="Q10" s="33"/>
    </row>
    <row r="11" customFormat="false" ht="15" hidden="false" customHeight="false" outlineLevel="0" collapsed="false">
      <c r="A11" s="27"/>
      <c r="B11" s="28"/>
      <c r="C11" s="28"/>
      <c r="D11" s="28"/>
      <c r="E11" s="29"/>
      <c r="F11" s="30"/>
      <c r="G11" s="30"/>
      <c r="H11" s="30"/>
      <c r="I11" s="30"/>
      <c r="J11" s="30"/>
      <c r="K11" s="30"/>
      <c r="L11" s="31" t="str">
        <f aca="false">IF(F11="","",SUM(G11:K11))</f>
        <v/>
      </c>
      <c r="M11" s="31" t="str">
        <f aca="false">IF(F11="","",F11-L11)</f>
        <v/>
      </c>
      <c r="N11" s="32" t="str">
        <f aca="false">IF(F11="","",G11*設定!$B$5+H11*設定!$B$6)</f>
        <v/>
      </c>
      <c r="O11" s="30"/>
      <c r="P11" s="31" t="str">
        <f aca="false">IF(OR(O11="",F11=""),"",O11-F11)</f>
        <v/>
      </c>
      <c r="Q11" s="33"/>
    </row>
    <row r="12" customFormat="false" ht="15" hidden="false" customHeight="false" outlineLevel="0" collapsed="false">
      <c r="A12" s="27"/>
      <c r="B12" s="28"/>
      <c r="C12" s="28"/>
      <c r="D12" s="28"/>
      <c r="E12" s="29"/>
      <c r="F12" s="30"/>
      <c r="G12" s="30"/>
      <c r="H12" s="30"/>
      <c r="I12" s="30"/>
      <c r="J12" s="30"/>
      <c r="K12" s="30"/>
      <c r="L12" s="31" t="str">
        <f aca="false">IF(F12="","",SUM(G12:K12))</f>
        <v/>
      </c>
      <c r="M12" s="31" t="str">
        <f aca="false">IF(F12="","",F12-L12)</f>
        <v/>
      </c>
      <c r="N12" s="32" t="str">
        <f aca="false">IF(F12="","",G12*設定!$B$5+H12*設定!$B$6)</f>
        <v/>
      </c>
      <c r="O12" s="30"/>
      <c r="P12" s="31" t="str">
        <f aca="false">IF(OR(O12="",F12=""),"",O12-F12)</f>
        <v/>
      </c>
      <c r="Q12" s="33"/>
    </row>
    <row r="13" customFormat="false" ht="15" hidden="false" customHeight="false" outlineLevel="0" collapsed="false">
      <c r="A13" s="27"/>
      <c r="B13" s="28"/>
      <c r="C13" s="28"/>
      <c r="D13" s="28"/>
      <c r="E13" s="29"/>
      <c r="F13" s="30"/>
      <c r="G13" s="30"/>
      <c r="H13" s="30"/>
      <c r="I13" s="30"/>
      <c r="J13" s="30"/>
      <c r="K13" s="30"/>
      <c r="L13" s="31" t="str">
        <f aca="false">IF(F13="","",SUM(G13:K13))</f>
        <v/>
      </c>
      <c r="M13" s="31" t="str">
        <f aca="false">IF(F13="","",F13-L13)</f>
        <v/>
      </c>
      <c r="N13" s="32" t="str">
        <f aca="false">IF(F13="","",G13*設定!$B$5+H13*設定!$B$6)</f>
        <v/>
      </c>
      <c r="O13" s="30"/>
      <c r="P13" s="31" t="str">
        <f aca="false">IF(OR(O13="",F13=""),"",O13-F13)</f>
        <v/>
      </c>
      <c r="Q13" s="33"/>
    </row>
    <row r="14" customFormat="false" ht="15" hidden="false" customHeight="false" outlineLevel="0" collapsed="false">
      <c r="A14" s="27"/>
      <c r="B14" s="28"/>
      <c r="C14" s="28"/>
      <c r="D14" s="28"/>
      <c r="E14" s="29"/>
      <c r="F14" s="30"/>
      <c r="G14" s="30"/>
      <c r="H14" s="30"/>
      <c r="I14" s="30"/>
      <c r="J14" s="30"/>
      <c r="K14" s="30"/>
      <c r="L14" s="31" t="str">
        <f aca="false">IF(F14="","",SUM(G14:K14))</f>
        <v/>
      </c>
      <c r="M14" s="31" t="str">
        <f aca="false">IF(F14="","",F14-L14)</f>
        <v/>
      </c>
      <c r="N14" s="32" t="str">
        <f aca="false">IF(F14="","",G14*設定!$B$5+H14*設定!$B$6)</f>
        <v/>
      </c>
      <c r="O14" s="30"/>
      <c r="P14" s="31" t="str">
        <f aca="false">IF(OR(O14="",F14=""),"",O14-F14)</f>
        <v/>
      </c>
      <c r="Q14" s="33"/>
    </row>
    <row r="15" customFormat="false" ht="15" hidden="false" customHeight="false" outlineLevel="0" collapsed="false">
      <c r="A15" s="27"/>
      <c r="B15" s="28"/>
      <c r="C15" s="28"/>
      <c r="D15" s="28"/>
      <c r="E15" s="29"/>
      <c r="F15" s="30"/>
      <c r="G15" s="30"/>
      <c r="H15" s="30"/>
      <c r="I15" s="30"/>
      <c r="J15" s="30"/>
      <c r="K15" s="30"/>
      <c r="L15" s="31" t="str">
        <f aca="false">IF(F15="","",SUM(G15:K15))</f>
        <v/>
      </c>
      <c r="M15" s="31" t="str">
        <f aca="false">IF(F15="","",F15-L15)</f>
        <v/>
      </c>
      <c r="N15" s="32" t="str">
        <f aca="false">IF(F15="","",G15*設定!$B$5+H15*設定!$B$6)</f>
        <v/>
      </c>
      <c r="O15" s="30"/>
      <c r="P15" s="31" t="str">
        <f aca="false">IF(OR(O15="",F15=""),"",O15-F15)</f>
        <v/>
      </c>
      <c r="Q15" s="33"/>
    </row>
    <row r="16" customFormat="false" ht="15" hidden="false" customHeight="false" outlineLevel="0" collapsed="false">
      <c r="A16" s="27"/>
      <c r="B16" s="28"/>
      <c r="C16" s="28"/>
      <c r="D16" s="28"/>
      <c r="E16" s="29"/>
      <c r="F16" s="30"/>
      <c r="G16" s="30"/>
      <c r="H16" s="30"/>
      <c r="I16" s="30"/>
      <c r="J16" s="30"/>
      <c r="K16" s="30"/>
      <c r="L16" s="31" t="str">
        <f aca="false">IF(F16="","",SUM(G16:K16))</f>
        <v/>
      </c>
      <c r="M16" s="31" t="str">
        <f aca="false">IF(F16="","",F16-L16)</f>
        <v/>
      </c>
      <c r="N16" s="32" t="str">
        <f aca="false">IF(F16="","",G16*設定!$B$5+H16*設定!$B$6)</f>
        <v/>
      </c>
      <c r="O16" s="30"/>
      <c r="P16" s="31" t="str">
        <f aca="false">IF(OR(O16="",F16=""),"",O16-F16)</f>
        <v/>
      </c>
      <c r="Q16" s="33"/>
    </row>
    <row r="17" customFormat="false" ht="15" hidden="false" customHeight="false" outlineLevel="0" collapsed="false">
      <c r="A17" s="27"/>
      <c r="B17" s="28"/>
      <c r="C17" s="28"/>
      <c r="D17" s="28"/>
      <c r="E17" s="29"/>
      <c r="F17" s="30"/>
      <c r="G17" s="30"/>
      <c r="H17" s="30"/>
      <c r="I17" s="30"/>
      <c r="J17" s="30"/>
      <c r="K17" s="30"/>
      <c r="L17" s="31" t="str">
        <f aca="false">IF(F17="","",SUM(G17:K17))</f>
        <v/>
      </c>
      <c r="M17" s="31" t="str">
        <f aca="false">IF(F17="","",F17-L17)</f>
        <v/>
      </c>
      <c r="N17" s="32" t="str">
        <f aca="false">IF(F17="","",G17*設定!$B$5+H17*設定!$B$6)</f>
        <v/>
      </c>
      <c r="O17" s="30"/>
      <c r="P17" s="31" t="str">
        <f aca="false">IF(OR(O17="",F17=""),"",O17-F17)</f>
        <v/>
      </c>
      <c r="Q17" s="33"/>
    </row>
    <row r="18" customFormat="false" ht="15" hidden="false" customHeight="false" outlineLevel="0" collapsed="false">
      <c r="A18" s="27"/>
      <c r="B18" s="28"/>
      <c r="C18" s="28"/>
      <c r="D18" s="28"/>
      <c r="E18" s="29"/>
      <c r="F18" s="30"/>
      <c r="G18" s="30"/>
      <c r="H18" s="30"/>
      <c r="I18" s="30"/>
      <c r="J18" s="30"/>
      <c r="K18" s="30"/>
      <c r="L18" s="31" t="str">
        <f aca="false">IF(F18="","",SUM(G18:K18))</f>
        <v/>
      </c>
      <c r="M18" s="31" t="str">
        <f aca="false">IF(F18="","",F18-L18)</f>
        <v/>
      </c>
      <c r="N18" s="32" t="str">
        <f aca="false">IF(F18="","",G18*設定!$B$5+H18*設定!$B$6)</f>
        <v/>
      </c>
      <c r="O18" s="30"/>
      <c r="P18" s="31" t="str">
        <f aca="false">IF(OR(O18="",F18=""),"",O18-F18)</f>
        <v/>
      </c>
      <c r="Q18" s="33"/>
    </row>
    <row r="19" customFormat="false" ht="15" hidden="false" customHeight="false" outlineLevel="0" collapsed="false">
      <c r="A19" s="27"/>
      <c r="B19" s="28"/>
      <c r="C19" s="28"/>
      <c r="D19" s="28"/>
      <c r="E19" s="29"/>
      <c r="F19" s="30"/>
      <c r="G19" s="30"/>
      <c r="H19" s="30"/>
      <c r="I19" s="30"/>
      <c r="J19" s="30"/>
      <c r="K19" s="30"/>
      <c r="L19" s="31" t="str">
        <f aca="false">IF(F19="","",SUM(G19:K19))</f>
        <v/>
      </c>
      <c r="M19" s="31" t="str">
        <f aca="false">IF(F19="","",F19-L19)</f>
        <v/>
      </c>
      <c r="N19" s="32" t="str">
        <f aca="false">IF(F19="","",G19*設定!$B$5+H19*設定!$B$6)</f>
        <v/>
      </c>
      <c r="O19" s="30"/>
      <c r="P19" s="31" t="str">
        <f aca="false">IF(OR(O19="",F19=""),"",O19-F19)</f>
        <v/>
      </c>
      <c r="Q19" s="33"/>
    </row>
    <row r="20" customFormat="false" ht="15" hidden="false" customHeight="false" outlineLevel="0" collapsed="false">
      <c r="A20" s="27"/>
      <c r="B20" s="28"/>
      <c r="C20" s="28"/>
      <c r="D20" s="28"/>
      <c r="E20" s="29"/>
      <c r="F20" s="30"/>
      <c r="G20" s="30"/>
      <c r="H20" s="30"/>
      <c r="I20" s="30"/>
      <c r="J20" s="30"/>
      <c r="K20" s="30"/>
      <c r="L20" s="31" t="str">
        <f aca="false">IF(F20="","",SUM(G20:K20))</f>
        <v/>
      </c>
      <c r="M20" s="31" t="str">
        <f aca="false">IF(F20="","",F20-L20)</f>
        <v/>
      </c>
      <c r="N20" s="32" t="str">
        <f aca="false">IF(F20="","",G20*設定!$B$5+H20*設定!$B$6)</f>
        <v/>
      </c>
      <c r="O20" s="30"/>
      <c r="P20" s="31" t="str">
        <f aca="false">IF(OR(O20="",F20=""),"",O20-F20)</f>
        <v/>
      </c>
      <c r="Q20" s="33"/>
    </row>
    <row r="21" customFormat="false" ht="15" hidden="false" customHeight="false" outlineLevel="0" collapsed="false">
      <c r="A21" s="27"/>
      <c r="B21" s="28"/>
      <c r="C21" s="28"/>
      <c r="D21" s="28"/>
      <c r="E21" s="29"/>
      <c r="F21" s="30"/>
      <c r="G21" s="30"/>
      <c r="H21" s="30"/>
      <c r="I21" s="30"/>
      <c r="J21" s="30"/>
      <c r="K21" s="30"/>
      <c r="L21" s="31" t="str">
        <f aca="false">IF(F21="","",SUM(G21:K21))</f>
        <v/>
      </c>
      <c r="M21" s="31" t="str">
        <f aca="false">IF(F21="","",F21-L21)</f>
        <v/>
      </c>
      <c r="N21" s="32" t="str">
        <f aca="false">IF(F21="","",G21*設定!$B$5+H21*設定!$B$6)</f>
        <v/>
      </c>
      <c r="O21" s="30"/>
      <c r="P21" s="31" t="str">
        <f aca="false">IF(OR(O21="",F21=""),"",O21-F21)</f>
        <v/>
      </c>
      <c r="Q21" s="33"/>
    </row>
    <row r="22" customFormat="false" ht="15" hidden="false" customHeight="false" outlineLevel="0" collapsed="false">
      <c r="A22" s="27"/>
      <c r="B22" s="28"/>
      <c r="C22" s="28"/>
      <c r="D22" s="28"/>
      <c r="E22" s="29"/>
      <c r="F22" s="30"/>
      <c r="G22" s="30"/>
      <c r="H22" s="30"/>
      <c r="I22" s="30"/>
      <c r="J22" s="30"/>
      <c r="K22" s="30"/>
      <c r="L22" s="31" t="str">
        <f aca="false">IF(F22="","",SUM(G22:K22))</f>
        <v/>
      </c>
      <c r="M22" s="31" t="str">
        <f aca="false">IF(F22="","",F22-L22)</f>
        <v/>
      </c>
      <c r="N22" s="32" t="str">
        <f aca="false">IF(F22="","",G22*設定!$B$5+H22*設定!$B$6)</f>
        <v/>
      </c>
      <c r="O22" s="30"/>
      <c r="P22" s="31" t="str">
        <f aca="false">IF(OR(O22="",F22=""),"",O22-F22)</f>
        <v/>
      </c>
      <c r="Q22" s="33"/>
    </row>
    <row r="23" customFormat="false" ht="15" hidden="false" customHeight="false" outlineLevel="0" collapsed="false">
      <c r="A23" s="27"/>
      <c r="B23" s="28"/>
      <c r="C23" s="28"/>
      <c r="D23" s="28"/>
      <c r="E23" s="29"/>
      <c r="F23" s="30"/>
      <c r="G23" s="30"/>
      <c r="H23" s="30"/>
      <c r="I23" s="30"/>
      <c r="J23" s="30"/>
      <c r="K23" s="30"/>
      <c r="L23" s="31" t="str">
        <f aca="false">IF(F23="","",SUM(G23:K23))</f>
        <v/>
      </c>
      <c r="M23" s="31" t="str">
        <f aca="false">IF(F23="","",F23-L23)</f>
        <v/>
      </c>
      <c r="N23" s="32" t="str">
        <f aca="false">IF(F23="","",G23*設定!$B$5+H23*設定!$B$6)</f>
        <v/>
      </c>
      <c r="O23" s="30"/>
      <c r="P23" s="31" t="str">
        <f aca="false">IF(OR(O23="",F23=""),"",O23-F23)</f>
        <v/>
      </c>
      <c r="Q23" s="33"/>
    </row>
    <row r="24" customFormat="false" ht="15" hidden="false" customHeight="false" outlineLevel="0" collapsed="false">
      <c r="A24" s="27"/>
      <c r="B24" s="28"/>
      <c r="C24" s="28"/>
      <c r="D24" s="28"/>
      <c r="E24" s="29"/>
      <c r="F24" s="30"/>
      <c r="G24" s="30"/>
      <c r="H24" s="30"/>
      <c r="I24" s="30"/>
      <c r="J24" s="30"/>
      <c r="K24" s="30"/>
      <c r="L24" s="31" t="str">
        <f aca="false">IF(F24="","",SUM(G24:K24))</f>
        <v/>
      </c>
      <c r="M24" s="31" t="str">
        <f aca="false">IF(F24="","",F24-L24)</f>
        <v/>
      </c>
      <c r="N24" s="32" t="str">
        <f aca="false">IF(F24="","",G24*設定!$B$5+H24*設定!$B$6)</f>
        <v/>
      </c>
      <c r="O24" s="30"/>
      <c r="P24" s="31" t="str">
        <f aca="false">IF(OR(O24="",F24=""),"",O24-F24)</f>
        <v/>
      </c>
      <c r="Q24" s="33"/>
    </row>
    <row r="25" customFormat="false" ht="15" hidden="false" customHeight="false" outlineLevel="0" collapsed="false">
      <c r="A25" s="27"/>
      <c r="B25" s="28"/>
      <c r="C25" s="28"/>
      <c r="D25" s="28"/>
      <c r="E25" s="29"/>
      <c r="F25" s="30"/>
      <c r="G25" s="30"/>
      <c r="H25" s="30"/>
      <c r="I25" s="30"/>
      <c r="J25" s="30"/>
      <c r="K25" s="30"/>
      <c r="L25" s="31" t="str">
        <f aca="false">IF(F25="","",SUM(G25:K25))</f>
        <v/>
      </c>
      <c r="M25" s="31" t="str">
        <f aca="false">IF(F25="","",F25-L25)</f>
        <v/>
      </c>
      <c r="N25" s="32" t="str">
        <f aca="false">IF(F25="","",G25*設定!$B$5+H25*設定!$B$6)</f>
        <v/>
      </c>
      <c r="O25" s="30"/>
      <c r="P25" s="31" t="str">
        <f aca="false">IF(OR(O25="",F25=""),"",O25-F25)</f>
        <v/>
      </c>
      <c r="Q25" s="33"/>
    </row>
    <row r="26" customFormat="false" ht="15" hidden="false" customHeight="false" outlineLevel="0" collapsed="false">
      <c r="A26" s="27"/>
      <c r="B26" s="28"/>
      <c r="C26" s="28"/>
      <c r="D26" s="28"/>
      <c r="E26" s="29"/>
      <c r="F26" s="30"/>
      <c r="G26" s="30"/>
      <c r="H26" s="30"/>
      <c r="I26" s="30"/>
      <c r="J26" s="30"/>
      <c r="K26" s="30"/>
      <c r="L26" s="31" t="str">
        <f aca="false">IF(F26="","",SUM(G26:K26))</f>
        <v/>
      </c>
      <c r="M26" s="31" t="str">
        <f aca="false">IF(F26="","",F26-L26)</f>
        <v/>
      </c>
      <c r="N26" s="32" t="str">
        <f aca="false">IF(F26="","",G26*設定!$B$5+H26*設定!$B$6)</f>
        <v/>
      </c>
      <c r="O26" s="30"/>
      <c r="P26" s="31" t="str">
        <f aca="false">IF(OR(O26="",F26=""),"",O26-F26)</f>
        <v/>
      </c>
      <c r="Q26" s="33"/>
    </row>
    <row r="27" customFormat="false" ht="15" hidden="false" customHeight="false" outlineLevel="0" collapsed="false">
      <c r="A27" s="27"/>
      <c r="B27" s="28"/>
      <c r="C27" s="28"/>
      <c r="D27" s="28"/>
      <c r="E27" s="29"/>
      <c r="F27" s="30"/>
      <c r="G27" s="30"/>
      <c r="H27" s="30"/>
      <c r="I27" s="30"/>
      <c r="J27" s="30"/>
      <c r="K27" s="30"/>
      <c r="L27" s="31" t="str">
        <f aca="false">IF(F27="","",SUM(G27:K27))</f>
        <v/>
      </c>
      <c r="M27" s="31" t="str">
        <f aca="false">IF(F27="","",F27-L27)</f>
        <v/>
      </c>
      <c r="N27" s="32" t="str">
        <f aca="false">IF(F27="","",G27*設定!$B$5+H27*設定!$B$6)</f>
        <v/>
      </c>
      <c r="O27" s="30"/>
      <c r="P27" s="31" t="str">
        <f aca="false">IF(OR(O27="",F27=""),"",O27-F27)</f>
        <v/>
      </c>
      <c r="Q27" s="33"/>
    </row>
    <row r="28" customFormat="false" ht="15" hidden="false" customHeight="false" outlineLevel="0" collapsed="false">
      <c r="A28" s="27"/>
      <c r="B28" s="28"/>
      <c r="C28" s="28"/>
      <c r="D28" s="28"/>
      <c r="E28" s="29"/>
      <c r="F28" s="30"/>
      <c r="G28" s="30"/>
      <c r="H28" s="30"/>
      <c r="I28" s="30"/>
      <c r="J28" s="30"/>
      <c r="K28" s="30"/>
      <c r="L28" s="31" t="str">
        <f aca="false">IF(F28="","",SUM(G28:K28))</f>
        <v/>
      </c>
      <c r="M28" s="31" t="str">
        <f aca="false">IF(F28="","",F28-L28)</f>
        <v/>
      </c>
      <c r="N28" s="32" t="str">
        <f aca="false">IF(F28="","",G28*設定!$B$5+H28*設定!$B$6)</f>
        <v/>
      </c>
      <c r="O28" s="30"/>
      <c r="P28" s="31" t="str">
        <f aca="false">IF(OR(O28="",F28=""),"",O28-F28)</f>
        <v/>
      </c>
      <c r="Q28" s="33"/>
    </row>
    <row r="29" customFormat="false" ht="15" hidden="false" customHeight="false" outlineLevel="0" collapsed="false">
      <c r="A29" s="27"/>
      <c r="B29" s="28"/>
      <c r="C29" s="28"/>
      <c r="D29" s="28"/>
      <c r="E29" s="29"/>
      <c r="F29" s="30"/>
      <c r="G29" s="30"/>
      <c r="H29" s="30"/>
      <c r="I29" s="30"/>
      <c r="J29" s="30"/>
      <c r="K29" s="30"/>
      <c r="L29" s="31" t="str">
        <f aca="false">IF(F29="","",SUM(G29:K29))</f>
        <v/>
      </c>
      <c r="M29" s="31" t="str">
        <f aca="false">IF(F29="","",F29-L29)</f>
        <v/>
      </c>
      <c r="N29" s="32" t="str">
        <f aca="false">IF(F29="","",G29*設定!$B$5+H29*設定!$B$6)</f>
        <v/>
      </c>
      <c r="O29" s="30"/>
      <c r="P29" s="31" t="str">
        <f aca="false">IF(OR(O29="",F29=""),"",O29-F29)</f>
        <v/>
      </c>
      <c r="Q29" s="33"/>
    </row>
    <row r="30" customFormat="false" ht="15" hidden="false" customHeight="false" outlineLevel="0" collapsed="false">
      <c r="A30" s="27"/>
      <c r="B30" s="28"/>
      <c r="C30" s="28"/>
      <c r="D30" s="28"/>
      <c r="E30" s="29"/>
      <c r="F30" s="30"/>
      <c r="G30" s="30"/>
      <c r="H30" s="30"/>
      <c r="I30" s="30"/>
      <c r="J30" s="30"/>
      <c r="K30" s="30"/>
      <c r="L30" s="31" t="str">
        <f aca="false">IF(F30="","",SUM(G30:K30))</f>
        <v/>
      </c>
      <c r="M30" s="31" t="str">
        <f aca="false">IF(F30="","",F30-L30)</f>
        <v/>
      </c>
      <c r="N30" s="32" t="str">
        <f aca="false">IF(F30="","",G30*設定!$B$5+H30*設定!$B$6)</f>
        <v/>
      </c>
      <c r="O30" s="30"/>
      <c r="P30" s="31" t="str">
        <f aca="false">IF(OR(O30="",F30=""),"",O30-F30)</f>
        <v/>
      </c>
      <c r="Q30" s="33"/>
    </row>
    <row r="31" customFormat="false" ht="15" hidden="false" customHeight="false" outlineLevel="0" collapsed="false">
      <c r="A31" s="27"/>
      <c r="B31" s="28"/>
      <c r="C31" s="28"/>
      <c r="D31" s="28"/>
      <c r="E31" s="29"/>
      <c r="F31" s="30"/>
      <c r="G31" s="30"/>
      <c r="H31" s="30"/>
      <c r="I31" s="30"/>
      <c r="J31" s="30"/>
      <c r="K31" s="30"/>
      <c r="L31" s="31" t="str">
        <f aca="false">IF(F31="","",SUM(G31:K31))</f>
        <v/>
      </c>
      <c r="M31" s="31" t="str">
        <f aca="false">IF(F31="","",F31-L31)</f>
        <v/>
      </c>
      <c r="N31" s="32" t="str">
        <f aca="false">IF(F31="","",G31*設定!$B$5+H31*設定!$B$6)</f>
        <v/>
      </c>
      <c r="O31" s="30"/>
      <c r="P31" s="31" t="str">
        <f aca="false">IF(OR(O31="",F31=""),"",O31-F31)</f>
        <v/>
      </c>
      <c r="Q31" s="33"/>
    </row>
    <row r="32" customFormat="false" ht="15" hidden="false" customHeight="false" outlineLevel="0" collapsed="false">
      <c r="A32" s="27"/>
      <c r="B32" s="28"/>
      <c r="C32" s="28"/>
      <c r="D32" s="28"/>
      <c r="E32" s="29"/>
      <c r="F32" s="30"/>
      <c r="G32" s="30"/>
      <c r="H32" s="30"/>
      <c r="I32" s="30"/>
      <c r="J32" s="30"/>
      <c r="K32" s="30"/>
      <c r="L32" s="31" t="str">
        <f aca="false">IF(F32="","",SUM(G32:K32))</f>
        <v/>
      </c>
      <c r="M32" s="31" t="str">
        <f aca="false">IF(F32="","",F32-L32)</f>
        <v/>
      </c>
      <c r="N32" s="32" t="str">
        <f aca="false">IF(F32="","",G32*設定!$B$5+H32*設定!$B$6)</f>
        <v/>
      </c>
      <c r="O32" s="30"/>
      <c r="P32" s="31" t="str">
        <f aca="false">IF(OR(O32="",F32=""),"",O32-F32)</f>
        <v/>
      </c>
      <c r="Q32" s="33"/>
    </row>
    <row r="33" customFormat="false" ht="15" hidden="false" customHeight="false" outlineLevel="0" collapsed="false">
      <c r="A33" s="27"/>
      <c r="B33" s="28"/>
      <c r="C33" s="28"/>
      <c r="D33" s="28"/>
      <c r="E33" s="29"/>
      <c r="F33" s="30"/>
      <c r="G33" s="30"/>
      <c r="H33" s="30"/>
      <c r="I33" s="30"/>
      <c r="J33" s="30"/>
      <c r="K33" s="30"/>
      <c r="L33" s="31" t="str">
        <f aca="false">IF(F33="","",SUM(G33:K33))</f>
        <v/>
      </c>
      <c r="M33" s="31" t="str">
        <f aca="false">IF(F33="","",F33-L33)</f>
        <v/>
      </c>
      <c r="N33" s="32" t="str">
        <f aca="false">IF(F33="","",G33*設定!$B$5+H33*設定!$B$6)</f>
        <v/>
      </c>
      <c r="O33" s="30"/>
      <c r="P33" s="31" t="str">
        <f aca="false">IF(OR(O33="",F33=""),"",O33-F33)</f>
        <v/>
      </c>
      <c r="Q33" s="33"/>
    </row>
    <row r="34" customFormat="false" ht="15" hidden="false" customHeight="false" outlineLevel="0" collapsed="false">
      <c r="A34" s="27"/>
      <c r="B34" s="28"/>
      <c r="C34" s="28"/>
      <c r="D34" s="28"/>
      <c r="E34" s="29"/>
      <c r="F34" s="30"/>
      <c r="G34" s="30"/>
      <c r="H34" s="30"/>
      <c r="I34" s="30"/>
      <c r="J34" s="30"/>
      <c r="K34" s="30"/>
      <c r="L34" s="31" t="str">
        <f aca="false">IF(F34="","",SUM(G34:K34))</f>
        <v/>
      </c>
      <c r="M34" s="31" t="str">
        <f aca="false">IF(F34="","",F34-L34)</f>
        <v/>
      </c>
      <c r="N34" s="32" t="str">
        <f aca="false">IF(F34="","",G34*設定!$B$5+H34*設定!$B$6)</f>
        <v/>
      </c>
      <c r="O34" s="30"/>
      <c r="P34" s="31" t="str">
        <f aca="false">IF(OR(O34="",F34=""),"",O34-F34)</f>
        <v/>
      </c>
      <c r="Q34" s="33"/>
    </row>
    <row r="35" customFormat="false" ht="15" hidden="false" customHeight="false" outlineLevel="0" collapsed="false">
      <c r="A35" s="27"/>
      <c r="B35" s="28"/>
      <c r="C35" s="28"/>
      <c r="D35" s="28"/>
      <c r="E35" s="29"/>
      <c r="F35" s="30"/>
      <c r="G35" s="30"/>
      <c r="H35" s="30"/>
      <c r="I35" s="30"/>
      <c r="J35" s="30"/>
      <c r="K35" s="30"/>
      <c r="L35" s="31" t="str">
        <f aca="false">IF(F35="","",SUM(G35:K35))</f>
        <v/>
      </c>
      <c r="M35" s="31" t="str">
        <f aca="false">IF(F35="","",F35-L35)</f>
        <v/>
      </c>
      <c r="N35" s="32" t="str">
        <f aca="false">IF(F35="","",G35*設定!$B$5+H35*設定!$B$6)</f>
        <v/>
      </c>
      <c r="O35" s="30"/>
      <c r="P35" s="31" t="str">
        <f aca="false">IF(OR(O35="",F35=""),"",O35-F35)</f>
        <v/>
      </c>
      <c r="Q35" s="33"/>
    </row>
    <row r="36" customFormat="false" ht="15" hidden="false" customHeight="false" outlineLevel="0" collapsed="false">
      <c r="A36" s="27"/>
      <c r="B36" s="28"/>
      <c r="C36" s="28"/>
      <c r="D36" s="28"/>
      <c r="E36" s="29"/>
      <c r="F36" s="30"/>
      <c r="G36" s="30"/>
      <c r="H36" s="30"/>
      <c r="I36" s="30"/>
      <c r="J36" s="30"/>
      <c r="K36" s="30"/>
      <c r="L36" s="31" t="str">
        <f aca="false">IF(F36="","",SUM(G36:K36))</f>
        <v/>
      </c>
      <c r="M36" s="31" t="str">
        <f aca="false">IF(F36="","",F36-L36)</f>
        <v/>
      </c>
      <c r="N36" s="32" t="str">
        <f aca="false">IF(F36="","",G36*設定!$B$5+H36*設定!$B$6)</f>
        <v/>
      </c>
      <c r="O36" s="30"/>
      <c r="P36" s="31" t="str">
        <f aca="false">IF(OR(O36="",F36=""),"",O36-F36)</f>
        <v/>
      </c>
      <c r="Q36" s="33"/>
    </row>
    <row r="37" customFormat="false" ht="15" hidden="false" customHeight="false" outlineLevel="0" collapsed="false">
      <c r="A37" s="27"/>
      <c r="B37" s="28"/>
      <c r="C37" s="28"/>
      <c r="D37" s="28"/>
      <c r="E37" s="29"/>
      <c r="F37" s="30"/>
      <c r="G37" s="30"/>
      <c r="H37" s="30"/>
      <c r="I37" s="30"/>
      <c r="J37" s="30"/>
      <c r="K37" s="30"/>
      <c r="L37" s="31" t="str">
        <f aca="false">IF(F37="","",SUM(G37:K37))</f>
        <v/>
      </c>
      <c r="M37" s="31" t="str">
        <f aca="false">IF(F37="","",F37-L37)</f>
        <v/>
      </c>
      <c r="N37" s="32" t="str">
        <f aca="false">IF(F37="","",G37*設定!$B$5+H37*設定!$B$6)</f>
        <v/>
      </c>
      <c r="O37" s="30"/>
      <c r="P37" s="31" t="str">
        <f aca="false">IF(OR(O37="",F37=""),"",O37-F37)</f>
        <v/>
      </c>
      <c r="Q37" s="33"/>
    </row>
    <row r="38" customFormat="false" ht="15" hidden="false" customHeight="false" outlineLevel="0" collapsed="false">
      <c r="A38" s="27"/>
      <c r="B38" s="28"/>
      <c r="C38" s="28"/>
      <c r="D38" s="28"/>
      <c r="E38" s="29"/>
      <c r="F38" s="30"/>
      <c r="G38" s="30"/>
      <c r="H38" s="30"/>
      <c r="I38" s="30"/>
      <c r="J38" s="30"/>
      <c r="K38" s="30"/>
      <c r="L38" s="31" t="str">
        <f aca="false">IF(F38="","",SUM(G38:K38))</f>
        <v/>
      </c>
      <c r="M38" s="31" t="str">
        <f aca="false">IF(F38="","",F38-L38)</f>
        <v/>
      </c>
      <c r="N38" s="32" t="str">
        <f aca="false">IF(F38="","",G38*設定!$B$5+H38*設定!$B$6)</f>
        <v/>
      </c>
      <c r="O38" s="30"/>
      <c r="P38" s="31" t="str">
        <f aca="false">IF(OR(O38="",F38=""),"",O38-F38)</f>
        <v/>
      </c>
      <c r="Q38" s="33"/>
    </row>
    <row r="39" customFormat="false" ht="15" hidden="false" customHeight="false" outlineLevel="0" collapsed="false">
      <c r="A39" s="27"/>
      <c r="B39" s="28"/>
      <c r="C39" s="28"/>
      <c r="D39" s="28"/>
      <c r="E39" s="29"/>
      <c r="F39" s="30"/>
      <c r="G39" s="30"/>
      <c r="H39" s="30"/>
      <c r="I39" s="30"/>
      <c r="J39" s="30"/>
      <c r="K39" s="30"/>
      <c r="L39" s="31" t="str">
        <f aca="false">IF(F39="","",SUM(G39:K39))</f>
        <v/>
      </c>
      <c r="M39" s="31" t="str">
        <f aca="false">IF(F39="","",F39-L39)</f>
        <v/>
      </c>
      <c r="N39" s="32" t="str">
        <f aca="false">IF(F39="","",G39*設定!$B$5+H39*設定!$B$6)</f>
        <v/>
      </c>
      <c r="O39" s="30"/>
      <c r="P39" s="31" t="str">
        <f aca="false">IF(OR(O39="",F39=""),"",O39-F39)</f>
        <v/>
      </c>
      <c r="Q39" s="33"/>
    </row>
    <row r="40" customFormat="false" ht="15" hidden="false" customHeight="false" outlineLevel="0" collapsed="false">
      <c r="A40" s="27"/>
      <c r="B40" s="28"/>
      <c r="C40" s="28"/>
      <c r="D40" s="28"/>
      <c r="E40" s="29"/>
      <c r="F40" s="30"/>
      <c r="G40" s="30"/>
      <c r="H40" s="30"/>
      <c r="I40" s="30"/>
      <c r="J40" s="30"/>
      <c r="K40" s="30"/>
      <c r="L40" s="31" t="str">
        <f aca="false">IF(F40="","",SUM(G40:K40))</f>
        <v/>
      </c>
      <c r="M40" s="31" t="str">
        <f aca="false">IF(F40="","",F40-L40)</f>
        <v/>
      </c>
      <c r="N40" s="32" t="str">
        <f aca="false">IF(F40="","",G40*設定!$B$5+H40*設定!$B$6)</f>
        <v/>
      </c>
      <c r="O40" s="30"/>
      <c r="P40" s="31" t="str">
        <f aca="false">IF(OR(O40="",F40=""),"",O40-F40)</f>
        <v/>
      </c>
      <c r="Q40" s="33"/>
    </row>
    <row r="41" customFormat="false" ht="15" hidden="false" customHeight="false" outlineLevel="0" collapsed="false">
      <c r="A41" s="27"/>
      <c r="B41" s="28"/>
      <c r="C41" s="28"/>
      <c r="D41" s="28"/>
      <c r="E41" s="29"/>
      <c r="F41" s="30"/>
      <c r="G41" s="30"/>
      <c r="H41" s="30"/>
      <c r="I41" s="30"/>
      <c r="J41" s="30"/>
      <c r="K41" s="30"/>
      <c r="L41" s="31" t="str">
        <f aca="false">IF(F41="","",SUM(G41:K41))</f>
        <v/>
      </c>
      <c r="M41" s="31" t="str">
        <f aca="false">IF(F41="","",F41-L41)</f>
        <v/>
      </c>
      <c r="N41" s="32" t="str">
        <f aca="false">IF(F41="","",G41*設定!$B$5+H41*設定!$B$6)</f>
        <v/>
      </c>
      <c r="O41" s="30"/>
      <c r="P41" s="31" t="str">
        <f aca="false">IF(OR(O41="",F41=""),"",O41-F41)</f>
        <v/>
      </c>
      <c r="Q41" s="33"/>
    </row>
    <row r="42" customFormat="false" ht="15" hidden="false" customHeight="false" outlineLevel="0" collapsed="false">
      <c r="A42" s="27"/>
      <c r="B42" s="28"/>
      <c r="C42" s="28"/>
      <c r="D42" s="28"/>
      <c r="E42" s="29"/>
      <c r="F42" s="30"/>
      <c r="G42" s="30"/>
      <c r="H42" s="30"/>
      <c r="I42" s="30"/>
      <c r="J42" s="30"/>
      <c r="K42" s="30"/>
      <c r="L42" s="31" t="str">
        <f aca="false">IF(F42="","",SUM(G42:K42))</f>
        <v/>
      </c>
      <c r="M42" s="31" t="str">
        <f aca="false">IF(F42="","",F42-L42)</f>
        <v/>
      </c>
      <c r="N42" s="32" t="str">
        <f aca="false">IF(F42="","",G42*設定!$B$5+H42*設定!$B$6)</f>
        <v/>
      </c>
      <c r="O42" s="30"/>
      <c r="P42" s="31" t="str">
        <f aca="false">IF(OR(O42="",F42=""),"",O42-F42)</f>
        <v/>
      </c>
      <c r="Q42" s="33"/>
    </row>
    <row r="43" customFormat="false" ht="15" hidden="false" customHeight="false" outlineLevel="0" collapsed="false">
      <c r="A43" s="27"/>
      <c r="B43" s="28"/>
      <c r="C43" s="28"/>
      <c r="D43" s="28"/>
      <c r="E43" s="29"/>
      <c r="F43" s="30"/>
      <c r="G43" s="30"/>
      <c r="H43" s="30"/>
      <c r="I43" s="30"/>
      <c r="J43" s="30"/>
      <c r="K43" s="30"/>
      <c r="L43" s="31" t="str">
        <f aca="false">IF(F43="","",SUM(G43:K43))</f>
        <v/>
      </c>
      <c r="M43" s="31" t="str">
        <f aca="false">IF(F43="","",F43-L43)</f>
        <v/>
      </c>
      <c r="N43" s="32" t="str">
        <f aca="false">IF(F43="","",G43*設定!$B$5+H43*設定!$B$6)</f>
        <v/>
      </c>
      <c r="O43" s="30"/>
      <c r="P43" s="31" t="str">
        <f aca="false">IF(OR(O43="",F43=""),"",O43-F43)</f>
        <v/>
      </c>
      <c r="Q43" s="33"/>
    </row>
    <row r="44" customFormat="false" ht="15" hidden="false" customHeight="false" outlineLevel="0" collapsed="false">
      <c r="A44" s="27"/>
      <c r="B44" s="28"/>
      <c r="C44" s="28"/>
      <c r="D44" s="28"/>
      <c r="E44" s="29"/>
      <c r="F44" s="30"/>
      <c r="G44" s="30"/>
      <c r="H44" s="30"/>
      <c r="I44" s="30"/>
      <c r="J44" s="30"/>
      <c r="K44" s="30"/>
      <c r="L44" s="31" t="str">
        <f aca="false">IF(F44="","",SUM(G44:K44))</f>
        <v/>
      </c>
      <c r="M44" s="31" t="str">
        <f aca="false">IF(F44="","",F44-L44)</f>
        <v/>
      </c>
      <c r="N44" s="32" t="str">
        <f aca="false">IF(F44="","",G44*設定!$B$5+H44*設定!$B$6)</f>
        <v/>
      </c>
      <c r="O44" s="30"/>
      <c r="P44" s="31" t="str">
        <f aca="false">IF(OR(O44="",F44=""),"",O44-F44)</f>
        <v/>
      </c>
      <c r="Q44" s="33"/>
    </row>
    <row r="45" customFormat="false" ht="15" hidden="false" customHeight="false" outlineLevel="0" collapsed="false">
      <c r="A45" s="27"/>
      <c r="B45" s="28"/>
      <c r="C45" s="28"/>
      <c r="D45" s="28"/>
      <c r="E45" s="29"/>
      <c r="F45" s="30"/>
      <c r="G45" s="30"/>
      <c r="H45" s="30"/>
      <c r="I45" s="30"/>
      <c r="J45" s="30"/>
      <c r="K45" s="30"/>
      <c r="L45" s="31" t="str">
        <f aca="false">IF(F45="","",SUM(G45:K45))</f>
        <v/>
      </c>
      <c r="M45" s="31" t="str">
        <f aca="false">IF(F45="","",F45-L45)</f>
        <v/>
      </c>
      <c r="N45" s="32" t="str">
        <f aca="false">IF(F45="","",G45*設定!$B$5+H45*設定!$B$6)</f>
        <v/>
      </c>
      <c r="O45" s="30"/>
      <c r="P45" s="31" t="str">
        <f aca="false">IF(OR(O45="",F45=""),"",O45-F45)</f>
        <v/>
      </c>
      <c r="Q45" s="33"/>
    </row>
    <row r="46" customFormat="false" ht="15" hidden="false" customHeight="false" outlineLevel="0" collapsed="false">
      <c r="A46" s="27"/>
      <c r="B46" s="28"/>
      <c r="C46" s="28"/>
      <c r="D46" s="28"/>
      <c r="E46" s="29"/>
      <c r="F46" s="30"/>
      <c r="G46" s="30"/>
      <c r="H46" s="30"/>
      <c r="I46" s="30"/>
      <c r="J46" s="30"/>
      <c r="K46" s="30"/>
      <c r="L46" s="31" t="str">
        <f aca="false">IF(F46="","",SUM(G46:K46))</f>
        <v/>
      </c>
      <c r="M46" s="31" t="str">
        <f aca="false">IF(F46="","",F46-L46)</f>
        <v/>
      </c>
      <c r="N46" s="32" t="str">
        <f aca="false">IF(F46="","",G46*設定!$B$5+H46*設定!$B$6)</f>
        <v/>
      </c>
      <c r="O46" s="30"/>
      <c r="P46" s="31" t="str">
        <f aca="false">IF(OR(O46="",F46=""),"",O46-F46)</f>
        <v/>
      </c>
      <c r="Q46" s="33"/>
    </row>
    <row r="47" customFormat="false" ht="15" hidden="false" customHeight="false" outlineLevel="0" collapsed="false">
      <c r="A47" s="27"/>
      <c r="B47" s="28"/>
      <c r="C47" s="28"/>
      <c r="D47" s="28"/>
      <c r="E47" s="29"/>
      <c r="F47" s="30"/>
      <c r="G47" s="30"/>
      <c r="H47" s="30"/>
      <c r="I47" s="30"/>
      <c r="J47" s="30"/>
      <c r="K47" s="30"/>
      <c r="L47" s="31" t="str">
        <f aca="false">IF(F47="","",SUM(G47:K47))</f>
        <v/>
      </c>
      <c r="M47" s="31" t="str">
        <f aca="false">IF(F47="","",F47-L47)</f>
        <v/>
      </c>
      <c r="N47" s="32" t="str">
        <f aca="false">IF(F47="","",G47*設定!$B$5+H47*設定!$B$6)</f>
        <v/>
      </c>
      <c r="O47" s="30"/>
      <c r="P47" s="31" t="str">
        <f aca="false">IF(OR(O47="",F47=""),"",O47-F47)</f>
        <v/>
      </c>
      <c r="Q47" s="33"/>
    </row>
    <row r="48" customFormat="false" ht="15" hidden="false" customHeight="false" outlineLevel="0" collapsed="false">
      <c r="A48" s="27"/>
      <c r="B48" s="28"/>
      <c r="C48" s="28"/>
      <c r="D48" s="28"/>
      <c r="E48" s="29"/>
      <c r="F48" s="30"/>
      <c r="G48" s="30"/>
      <c r="H48" s="30"/>
      <c r="I48" s="30"/>
      <c r="J48" s="30"/>
      <c r="K48" s="30"/>
      <c r="L48" s="31" t="str">
        <f aca="false">IF(F48="","",SUM(G48:K48))</f>
        <v/>
      </c>
      <c r="M48" s="31" t="str">
        <f aca="false">IF(F48="","",F48-L48)</f>
        <v/>
      </c>
      <c r="N48" s="32" t="str">
        <f aca="false">IF(F48="","",G48*設定!$B$5+H48*設定!$B$6)</f>
        <v/>
      </c>
      <c r="O48" s="30"/>
      <c r="P48" s="31" t="str">
        <f aca="false">IF(OR(O48="",F48=""),"",O48-F48)</f>
        <v/>
      </c>
      <c r="Q48" s="33"/>
    </row>
    <row r="49" customFormat="false" ht="15" hidden="false" customHeight="false" outlineLevel="0" collapsed="false">
      <c r="A49" s="27"/>
      <c r="B49" s="28"/>
      <c r="C49" s="28"/>
      <c r="D49" s="28"/>
      <c r="E49" s="29"/>
      <c r="F49" s="30"/>
      <c r="G49" s="30"/>
      <c r="H49" s="30"/>
      <c r="I49" s="30"/>
      <c r="J49" s="30"/>
      <c r="K49" s="30"/>
      <c r="L49" s="31" t="str">
        <f aca="false">IF(F49="","",SUM(G49:K49))</f>
        <v/>
      </c>
      <c r="M49" s="31" t="str">
        <f aca="false">IF(F49="","",F49-L49)</f>
        <v/>
      </c>
      <c r="N49" s="32" t="str">
        <f aca="false">IF(F49="","",G49*設定!$B$5+H49*設定!$B$6)</f>
        <v/>
      </c>
      <c r="O49" s="30"/>
      <c r="P49" s="31" t="str">
        <f aca="false">IF(OR(O49="",F49=""),"",O49-F49)</f>
        <v/>
      </c>
      <c r="Q49" s="33"/>
    </row>
    <row r="50" customFormat="false" ht="15" hidden="false" customHeight="false" outlineLevel="0" collapsed="false">
      <c r="A50" s="27"/>
      <c r="B50" s="28"/>
      <c r="C50" s="28"/>
      <c r="D50" s="28"/>
      <c r="E50" s="29"/>
      <c r="F50" s="30"/>
      <c r="G50" s="30"/>
      <c r="H50" s="30"/>
      <c r="I50" s="30"/>
      <c r="J50" s="30"/>
      <c r="K50" s="30"/>
      <c r="L50" s="31" t="str">
        <f aca="false">IF(F50="","",SUM(G50:K50))</f>
        <v/>
      </c>
      <c r="M50" s="31" t="str">
        <f aca="false">IF(F50="","",F50-L50)</f>
        <v/>
      </c>
      <c r="N50" s="32" t="str">
        <f aca="false">IF(F50="","",G50*設定!$B$5+H50*設定!$B$6)</f>
        <v/>
      </c>
      <c r="O50" s="30"/>
      <c r="P50" s="31" t="str">
        <f aca="false">IF(OR(O50="",F50=""),"",O50-F50)</f>
        <v/>
      </c>
      <c r="Q50" s="33"/>
    </row>
    <row r="51" customFormat="false" ht="15" hidden="false" customHeight="false" outlineLevel="0" collapsed="false">
      <c r="A51" s="27"/>
      <c r="B51" s="28"/>
      <c r="C51" s="28"/>
      <c r="D51" s="28"/>
      <c r="E51" s="29"/>
      <c r="F51" s="30"/>
      <c r="G51" s="30"/>
      <c r="H51" s="30"/>
      <c r="I51" s="30"/>
      <c r="J51" s="30"/>
      <c r="K51" s="30"/>
      <c r="L51" s="31" t="str">
        <f aca="false">IF(F51="","",SUM(G51:K51))</f>
        <v/>
      </c>
      <c r="M51" s="31" t="str">
        <f aca="false">IF(F51="","",F51-L51)</f>
        <v/>
      </c>
      <c r="N51" s="32" t="str">
        <f aca="false">IF(F51="","",G51*設定!$B$5+H51*設定!$B$6)</f>
        <v/>
      </c>
      <c r="O51" s="30"/>
      <c r="P51" s="31" t="str">
        <f aca="false">IF(OR(O51="",F51=""),"",O51-F51)</f>
        <v/>
      </c>
      <c r="Q51" s="33"/>
    </row>
    <row r="52" customFormat="false" ht="15" hidden="false" customHeight="false" outlineLevel="0" collapsed="false">
      <c r="A52" s="27"/>
      <c r="B52" s="28"/>
      <c r="C52" s="28"/>
      <c r="D52" s="28"/>
      <c r="E52" s="29"/>
      <c r="F52" s="30"/>
      <c r="G52" s="30"/>
      <c r="H52" s="30"/>
      <c r="I52" s="30"/>
      <c r="J52" s="30"/>
      <c r="K52" s="30"/>
      <c r="L52" s="31" t="str">
        <f aca="false">IF(F52="","",SUM(G52:K52))</f>
        <v/>
      </c>
      <c r="M52" s="31" t="str">
        <f aca="false">IF(F52="","",F52-L52)</f>
        <v/>
      </c>
      <c r="N52" s="32" t="str">
        <f aca="false">IF(F52="","",G52*設定!$B$5+H52*設定!$B$6)</f>
        <v/>
      </c>
      <c r="O52" s="30"/>
      <c r="P52" s="31" t="str">
        <f aca="false">IF(OR(O52="",F52=""),"",O52-F52)</f>
        <v/>
      </c>
      <c r="Q52" s="33"/>
    </row>
    <row r="53" customFormat="false" ht="15" hidden="false" customHeight="false" outlineLevel="0" collapsed="false">
      <c r="A53" s="27"/>
      <c r="B53" s="28"/>
      <c r="C53" s="28"/>
      <c r="D53" s="28"/>
      <c r="E53" s="29"/>
      <c r="F53" s="30"/>
      <c r="G53" s="30"/>
      <c r="H53" s="30"/>
      <c r="I53" s="30"/>
      <c r="J53" s="30"/>
      <c r="K53" s="30"/>
      <c r="L53" s="31" t="str">
        <f aca="false">IF(F53="","",SUM(G53:K53))</f>
        <v/>
      </c>
      <c r="M53" s="31" t="str">
        <f aca="false">IF(F53="","",F53-L53)</f>
        <v/>
      </c>
      <c r="N53" s="32" t="str">
        <f aca="false">IF(F53="","",G53*設定!$B$5+H53*設定!$B$6)</f>
        <v/>
      </c>
      <c r="O53" s="30"/>
      <c r="P53" s="31" t="str">
        <f aca="false">IF(OR(O53="",F53=""),"",O53-F53)</f>
        <v/>
      </c>
      <c r="Q53" s="33"/>
    </row>
    <row r="54" customFormat="false" ht="15" hidden="false" customHeight="false" outlineLevel="0" collapsed="false">
      <c r="A54" s="27"/>
      <c r="B54" s="28"/>
      <c r="C54" s="28"/>
      <c r="D54" s="28"/>
      <c r="E54" s="29"/>
      <c r="F54" s="30"/>
      <c r="G54" s="30"/>
      <c r="H54" s="30"/>
      <c r="I54" s="30"/>
      <c r="J54" s="30"/>
      <c r="K54" s="30"/>
      <c r="L54" s="31" t="str">
        <f aca="false">IF(F54="","",SUM(G54:K54))</f>
        <v/>
      </c>
      <c r="M54" s="31" t="str">
        <f aca="false">IF(F54="","",F54-L54)</f>
        <v/>
      </c>
      <c r="N54" s="32" t="str">
        <f aca="false">IF(F54="","",G54*設定!$B$5+H54*設定!$B$6)</f>
        <v/>
      </c>
      <c r="O54" s="30"/>
      <c r="P54" s="31" t="str">
        <f aca="false">IF(OR(O54="",F54=""),"",O54-F54)</f>
        <v/>
      </c>
      <c r="Q54" s="33"/>
    </row>
    <row r="55" customFormat="false" ht="15" hidden="false" customHeight="false" outlineLevel="0" collapsed="false">
      <c r="A55" s="27"/>
      <c r="B55" s="28"/>
      <c r="C55" s="28"/>
      <c r="D55" s="28"/>
      <c r="E55" s="29"/>
      <c r="F55" s="30"/>
      <c r="G55" s="30"/>
      <c r="H55" s="30"/>
      <c r="I55" s="30"/>
      <c r="J55" s="30"/>
      <c r="K55" s="30"/>
      <c r="L55" s="31" t="str">
        <f aca="false">IF(F55="","",SUM(G55:K55))</f>
        <v/>
      </c>
      <c r="M55" s="31" t="str">
        <f aca="false">IF(F55="","",F55-L55)</f>
        <v/>
      </c>
      <c r="N55" s="32" t="str">
        <f aca="false">IF(F55="","",G55*設定!$B$5+H55*設定!$B$6)</f>
        <v/>
      </c>
      <c r="O55" s="30"/>
      <c r="P55" s="31" t="str">
        <f aca="false">IF(OR(O55="",F55=""),"",O55-F55)</f>
        <v/>
      </c>
      <c r="Q55" s="33"/>
    </row>
    <row r="56" customFormat="false" ht="15" hidden="false" customHeight="false" outlineLevel="0" collapsed="false">
      <c r="A56" s="27"/>
      <c r="B56" s="28"/>
      <c r="C56" s="28"/>
      <c r="D56" s="28"/>
      <c r="E56" s="29"/>
      <c r="F56" s="30"/>
      <c r="G56" s="30"/>
      <c r="H56" s="30"/>
      <c r="I56" s="30"/>
      <c r="J56" s="30"/>
      <c r="K56" s="30"/>
      <c r="L56" s="31" t="str">
        <f aca="false">IF(F56="","",SUM(G56:K56))</f>
        <v/>
      </c>
      <c r="M56" s="31" t="str">
        <f aca="false">IF(F56="","",F56-L56)</f>
        <v/>
      </c>
      <c r="N56" s="32" t="str">
        <f aca="false">IF(F56="","",G56*設定!$B$5+H56*設定!$B$6)</f>
        <v/>
      </c>
      <c r="O56" s="30"/>
      <c r="P56" s="31" t="str">
        <f aca="false">IF(OR(O56="",F56=""),"",O56-F56)</f>
        <v/>
      </c>
      <c r="Q56" s="33"/>
    </row>
    <row r="57" customFormat="false" ht="15" hidden="false" customHeight="false" outlineLevel="0" collapsed="false">
      <c r="A57" s="27"/>
      <c r="B57" s="28"/>
      <c r="C57" s="28"/>
      <c r="D57" s="28"/>
      <c r="E57" s="29"/>
      <c r="F57" s="30"/>
      <c r="G57" s="30"/>
      <c r="H57" s="30"/>
      <c r="I57" s="30"/>
      <c r="J57" s="30"/>
      <c r="K57" s="30"/>
      <c r="L57" s="31" t="str">
        <f aca="false">IF(F57="","",SUM(G57:K57))</f>
        <v/>
      </c>
      <c r="M57" s="31" t="str">
        <f aca="false">IF(F57="","",F57-L57)</f>
        <v/>
      </c>
      <c r="N57" s="32" t="str">
        <f aca="false">IF(F57="","",G57*設定!$B$5+H57*設定!$B$6)</f>
        <v/>
      </c>
      <c r="O57" s="30"/>
      <c r="P57" s="31" t="str">
        <f aca="false">IF(OR(O57="",F57=""),"",O57-F57)</f>
        <v/>
      </c>
      <c r="Q57" s="33"/>
    </row>
    <row r="58" customFormat="false" ht="15" hidden="false" customHeight="false" outlineLevel="0" collapsed="false">
      <c r="A58" s="27"/>
      <c r="B58" s="28"/>
      <c r="C58" s="28"/>
      <c r="D58" s="28"/>
      <c r="E58" s="29"/>
      <c r="F58" s="30"/>
      <c r="G58" s="30"/>
      <c r="H58" s="30"/>
      <c r="I58" s="30"/>
      <c r="J58" s="30"/>
      <c r="K58" s="30"/>
      <c r="L58" s="31" t="str">
        <f aca="false">IF(F58="","",SUM(G58:K58))</f>
        <v/>
      </c>
      <c r="M58" s="31" t="str">
        <f aca="false">IF(F58="","",F58-L58)</f>
        <v/>
      </c>
      <c r="N58" s="32" t="str">
        <f aca="false">IF(F58="","",G58*設定!$B$5+H58*設定!$B$6)</f>
        <v/>
      </c>
      <c r="O58" s="30"/>
      <c r="P58" s="31" t="str">
        <f aca="false">IF(OR(O58="",F58=""),"",O58-F58)</f>
        <v/>
      </c>
      <c r="Q58" s="33"/>
    </row>
    <row r="59" customFormat="false" ht="15" hidden="false" customHeight="false" outlineLevel="0" collapsed="false">
      <c r="A59" s="27"/>
      <c r="B59" s="28"/>
      <c r="C59" s="28"/>
      <c r="D59" s="28"/>
      <c r="E59" s="29"/>
      <c r="F59" s="30"/>
      <c r="G59" s="30"/>
      <c r="H59" s="30"/>
      <c r="I59" s="30"/>
      <c r="J59" s="30"/>
      <c r="K59" s="30"/>
      <c r="L59" s="31" t="str">
        <f aca="false">IF(F59="","",SUM(G59:K59))</f>
        <v/>
      </c>
      <c r="M59" s="31" t="str">
        <f aca="false">IF(F59="","",F59-L59)</f>
        <v/>
      </c>
      <c r="N59" s="32" t="str">
        <f aca="false">IF(F59="","",G59*設定!$B$5+H59*設定!$B$6)</f>
        <v/>
      </c>
      <c r="O59" s="30"/>
      <c r="P59" s="31" t="str">
        <f aca="false">IF(OR(O59="",F59=""),"",O59-F59)</f>
        <v/>
      </c>
      <c r="Q59" s="33"/>
    </row>
    <row r="60" customFormat="false" ht="15" hidden="false" customHeight="false" outlineLevel="0" collapsed="false">
      <c r="A60" s="27"/>
      <c r="B60" s="28"/>
      <c r="C60" s="28"/>
      <c r="D60" s="28"/>
      <c r="E60" s="29"/>
      <c r="F60" s="30"/>
      <c r="G60" s="30"/>
      <c r="H60" s="30"/>
      <c r="I60" s="30"/>
      <c r="J60" s="30"/>
      <c r="K60" s="30"/>
      <c r="L60" s="31" t="str">
        <f aca="false">IF(F60="","",SUM(G60:K60))</f>
        <v/>
      </c>
      <c r="M60" s="31" t="str">
        <f aca="false">IF(F60="","",F60-L60)</f>
        <v/>
      </c>
      <c r="N60" s="32" t="str">
        <f aca="false">IF(F60="","",G60*設定!$B$5+H60*設定!$B$6)</f>
        <v/>
      </c>
      <c r="O60" s="30"/>
      <c r="P60" s="31" t="str">
        <f aca="false">IF(OR(O60="",F60=""),"",O60-F60)</f>
        <v/>
      </c>
      <c r="Q60" s="33"/>
    </row>
    <row r="61" customFormat="false" ht="15" hidden="false" customHeight="false" outlineLevel="0" collapsed="false">
      <c r="A61" s="27"/>
      <c r="B61" s="28"/>
      <c r="C61" s="28"/>
      <c r="D61" s="28"/>
      <c r="E61" s="29"/>
      <c r="F61" s="30"/>
      <c r="G61" s="30"/>
      <c r="H61" s="30"/>
      <c r="I61" s="30"/>
      <c r="J61" s="30"/>
      <c r="K61" s="30"/>
      <c r="L61" s="31" t="str">
        <f aca="false">IF(F61="","",SUM(G61:K61))</f>
        <v/>
      </c>
      <c r="M61" s="31" t="str">
        <f aca="false">IF(F61="","",F61-L61)</f>
        <v/>
      </c>
      <c r="N61" s="32" t="str">
        <f aca="false">IF(F61="","",G61*設定!$B$5+H61*設定!$B$6)</f>
        <v/>
      </c>
      <c r="O61" s="30"/>
      <c r="P61" s="31" t="str">
        <f aca="false">IF(OR(O61="",F61=""),"",O61-F61)</f>
        <v/>
      </c>
      <c r="Q61" s="33"/>
    </row>
    <row r="62" customFormat="false" ht="15" hidden="false" customHeight="false" outlineLevel="0" collapsed="false">
      <c r="A62" s="27"/>
      <c r="B62" s="28"/>
      <c r="C62" s="28"/>
      <c r="D62" s="28"/>
      <c r="E62" s="29"/>
      <c r="F62" s="30"/>
      <c r="G62" s="30"/>
      <c r="H62" s="30"/>
      <c r="I62" s="30"/>
      <c r="J62" s="30"/>
      <c r="K62" s="30"/>
      <c r="L62" s="31" t="str">
        <f aca="false">IF(F62="","",SUM(G62:K62))</f>
        <v/>
      </c>
      <c r="M62" s="31" t="str">
        <f aca="false">IF(F62="","",F62-L62)</f>
        <v/>
      </c>
      <c r="N62" s="32" t="str">
        <f aca="false">IF(F62="","",G62*設定!$B$5+H62*設定!$B$6)</f>
        <v/>
      </c>
      <c r="O62" s="30"/>
      <c r="P62" s="31" t="str">
        <f aca="false">IF(OR(O62="",F62=""),"",O62-F62)</f>
        <v/>
      </c>
      <c r="Q62" s="33"/>
    </row>
    <row r="63" customFormat="false" ht="15" hidden="false" customHeight="false" outlineLevel="0" collapsed="false">
      <c r="A63" s="27"/>
      <c r="B63" s="28"/>
      <c r="C63" s="28"/>
      <c r="D63" s="28"/>
      <c r="E63" s="29"/>
      <c r="F63" s="30"/>
      <c r="G63" s="30"/>
      <c r="H63" s="30"/>
      <c r="I63" s="30"/>
      <c r="J63" s="30"/>
      <c r="K63" s="30"/>
      <c r="L63" s="31" t="str">
        <f aca="false">IF(F63="","",SUM(G63:K63))</f>
        <v/>
      </c>
      <c r="M63" s="31" t="str">
        <f aca="false">IF(F63="","",F63-L63)</f>
        <v/>
      </c>
      <c r="N63" s="32" t="str">
        <f aca="false">IF(F63="","",G63*設定!$B$5+H63*設定!$B$6)</f>
        <v/>
      </c>
      <c r="O63" s="30"/>
      <c r="P63" s="31" t="str">
        <f aca="false">IF(OR(O63="",F63=""),"",O63-F63)</f>
        <v/>
      </c>
      <c r="Q63" s="33"/>
    </row>
    <row r="64" customFormat="false" ht="29.85" hidden="false" customHeight="false" outlineLevel="0" collapsed="false">
      <c r="A64" s="10" t="s">
        <v>54</v>
      </c>
      <c r="F64" s="34" t="n">
        <f aca="false">SUM(F3:F63)</f>
        <v>0</v>
      </c>
      <c r="G64" s="34" t="n">
        <f aca="false">SUM(G3:G63)</f>
        <v>0</v>
      </c>
      <c r="H64" s="34" t="n">
        <f aca="false">SUM(H3:H63)</f>
        <v>0</v>
      </c>
      <c r="I64" s="34" t="n">
        <f aca="false">SUM(I3:I63)</f>
        <v>0</v>
      </c>
      <c r="J64" s="34" t="n">
        <f aca="false">SUM(J3:J63)</f>
        <v>0</v>
      </c>
      <c r="K64" s="34" t="n">
        <f aca="false">SUM(K3:K63)</f>
        <v>0</v>
      </c>
      <c r="L64" s="34" t="n">
        <f aca="false">SUM(L3:L63)</f>
        <v>0</v>
      </c>
      <c r="M64" s="34" t="n">
        <f aca="false">SUM(M3:M63)</f>
        <v>0</v>
      </c>
      <c r="N64" s="34" t="n">
        <f aca="false">SUM(N3:N63)</f>
        <v>0</v>
      </c>
      <c r="O64" s="34" t="n">
        <f aca="false">SUM(O3:O63)</f>
        <v>0</v>
      </c>
      <c r="P64" s="34" t="n">
        <f aca="false">SUM(P3:P63)</f>
        <v>0</v>
      </c>
    </row>
    <row r="65" customFormat="false" ht="15" hidden="false" customHeight="false" outlineLevel="0" collapsed="false">
      <c r="A65" s="35" t="s">
        <v>55</v>
      </c>
    </row>
  </sheetData>
  <dataValidations count="2">
    <dataValidation allowBlank="true" errorStyle="stop" operator="between" showDropDown="false" showErrorMessage="false" showInputMessage="false" sqref="D2:D63" type="list">
      <formula1>設定!$A$10:$A$15</formula1>
      <formula2>0</formula2>
    </dataValidation>
    <dataValidation allowBlank="true" errorStyle="stop" operator="greaterThanOrEqual" showDropDown="false" showErrorMessage="false" showInputMessage="false" sqref="F2:K63 O2:O63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1"/>
    <col collapsed="false" customWidth="true" hidden="false" outlineLevel="0" max="7" min="5" style="1" width="9"/>
    <col collapsed="false" customWidth="true" hidden="false" outlineLevel="0" max="8" min="8" style="1" width="13"/>
    <col collapsed="false" customWidth="true" hidden="false" outlineLevel="0" max="9" min="9" style="1" width="14"/>
  </cols>
  <sheetData>
    <row r="1" customFormat="false" ht="55.2" hidden="false" customHeight="false" outlineLevel="0" collapsed="false">
      <c r="A1" s="9" t="s">
        <v>56</v>
      </c>
    </row>
    <row r="2" customFormat="false" ht="15" hidden="false" customHeight="false" outlineLevel="0" collapsed="false">
      <c r="A2" s="10" t="s">
        <v>57</v>
      </c>
      <c r="B2" s="36" t="n">
        <f aca="false">設定!B3</f>
        <v>46204</v>
      </c>
    </row>
    <row r="3" customFormat="false" ht="15" hidden="false" customHeight="false" outlineLevel="0" collapsed="false">
      <c r="A3" s="10" t="s">
        <v>58</v>
      </c>
      <c r="B3" s="37" t="n">
        <f aca="false">設定!B7</f>
        <v>46295</v>
      </c>
    </row>
    <row r="5" customFormat="false" ht="31.5" hidden="false" customHeight="true" outlineLevel="0" collapsed="false">
      <c r="A5" s="18" t="s">
        <v>59</v>
      </c>
      <c r="B5" s="18" t="s">
        <v>39</v>
      </c>
      <c r="C5" s="18" t="s">
        <v>60</v>
      </c>
      <c r="D5" s="18" t="s">
        <v>61</v>
      </c>
      <c r="E5" s="18" t="s">
        <v>42</v>
      </c>
      <c r="F5" s="18" t="s">
        <v>43</v>
      </c>
      <c r="G5" s="18" t="s">
        <v>44</v>
      </c>
      <c r="H5" s="18" t="s">
        <v>62</v>
      </c>
      <c r="I5" s="18" t="s">
        <v>47</v>
      </c>
    </row>
    <row r="6" customFormat="false" ht="15" hidden="false" customHeight="false" outlineLevel="0" collapsed="false">
      <c r="A6" s="38" t="str">
        <f aca="false">IF(設定!A10="","",設定!A10)</f>
        <v>NRT</v>
      </c>
      <c r="B6" s="32" t="n">
        <f aca="false">IF($A6="","",SUMIFS(便別集計!$F$3:$F$63,便別集計!$D$3:$D$63,$A6))</f>
        <v>0</v>
      </c>
      <c r="C6" s="32" t="n">
        <f aca="false">IF($A6="","",SUMIFS(便別集計!$G$3:$G$63,便別集計!$D$3:$D$63,$A6))</f>
        <v>0</v>
      </c>
      <c r="D6" s="32" t="n">
        <f aca="false">IF($A6="","",SUMIFS(便別集計!$H$3:$H$63,便別集計!$D$3:$D$63,$A6))</f>
        <v>0</v>
      </c>
      <c r="E6" s="32" t="n">
        <f aca="false">IF($A6="","",SUMIFS(便別集計!$I$3:$I$63,便別集計!$D$3:$D$63,$A6))</f>
        <v>0</v>
      </c>
      <c r="F6" s="32" t="n">
        <f aca="false">IF($A6="","",SUMIFS(便別集計!$J$3:$J$63,便別集計!$D$3:$D$63,$A6))</f>
        <v>0</v>
      </c>
      <c r="G6" s="32" t="n">
        <f aca="false">IF($A6="","",SUMIFS(便別集計!$K$3:$K$63,便別集計!$D$3:$D$63,$A6))</f>
        <v>0</v>
      </c>
      <c r="H6" s="32" t="n">
        <f aca="false">IF($A6="","",C6+D6)</f>
        <v>0</v>
      </c>
      <c r="I6" s="32" t="n">
        <f aca="false">IF($A6="","",C6*設定!$B$5+D6*設定!$B$6)</f>
        <v>0</v>
      </c>
    </row>
    <row r="7" customFormat="false" ht="15" hidden="false" customHeight="false" outlineLevel="0" collapsed="false">
      <c r="A7" s="38" t="str">
        <f aca="false">IF(設定!A11="","",設定!A11)</f>
        <v>HND</v>
      </c>
      <c r="B7" s="32" t="n">
        <f aca="false">IF($A7="","",SUMIFS(便別集計!$F$3:$F$63,便別集計!$D$3:$D$63,$A7))</f>
        <v>0</v>
      </c>
      <c r="C7" s="32" t="n">
        <f aca="false">IF($A7="","",SUMIFS(便別集計!$G$3:$G$63,便別集計!$D$3:$D$63,$A7))</f>
        <v>0</v>
      </c>
      <c r="D7" s="32" t="n">
        <f aca="false">IF($A7="","",SUMIFS(便別集計!$H$3:$H$63,便別集計!$D$3:$D$63,$A7))</f>
        <v>0</v>
      </c>
      <c r="E7" s="32" t="n">
        <f aca="false">IF($A7="","",SUMIFS(便別集計!$I$3:$I$63,便別集計!$D$3:$D$63,$A7))</f>
        <v>0</v>
      </c>
      <c r="F7" s="32" t="n">
        <f aca="false">IF($A7="","",SUMIFS(便別集計!$J$3:$J$63,便別集計!$D$3:$D$63,$A7))</f>
        <v>0</v>
      </c>
      <c r="G7" s="32" t="n">
        <f aca="false">IF($A7="","",SUMIFS(便別集計!$K$3:$K$63,便別集計!$D$3:$D$63,$A7))</f>
        <v>0</v>
      </c>
      <c r="H7" s="32" t="n">
        <f aca="false">IF($A7="","",C7+D7)</f>
        <v>0</v>
      </c>
      <c r="I7" s="32" t="n">
        <f aca="false">IF($A7="","",C7*設定!$B$5+D7*設定!$B$6)</f>
        <v>0</v>
      </c>
    </row>
    <row r="8" customFormat="false" ht="15" hidden="false" customHeight="false" outlineLevel="0" collapsed="false">
      <c r="A8" s="38" t="str">
        <f aca="false">IF(設定!A12="","",設定!A12)</f>
        <v>KIX</v>
      </c>
      <c r="B8" s="32" t="n">
        <f aca="false">IF($A8="","",SUMIFS(便別集計!$F$3:$F$63,便別集計!$D$3:$D$63,$A8))</f>
        <v>0</v>
      </c>
      <c r="C8" s="32" t="n">
        <f aca="false">IF($A8="","",SUMIFS(便別集計!$G$3:$G$63,便別集計!$D$3:$D$63,$A8))</f>
        <v>0</v>
      </c>
      <c r="D8" s="32" t="n">
        <f aca="false">IF($A8="","",SUMIFS(便別集計!$H$3:$H$63,便別集計!$D$3:$D$63,$A8))</f>
        <v>0</v>
      </c>
      <c r="E8" s="32" t="n">
        <f aca="false">IF($A8="","",SUMIFS(便別集計!$I$3:$I$63,便別集計!$D$3:$D$63,$A8))</f>
        <v>0</v>
      </c>
      <c r="F8" s="32" t="n">
        <f aca="false">IF($A8="","",SUMIFS(便別集計!$J$3:$J$63,便別集計!$D$3:$D$63,$A8))</f>
        <v>0</v>
      </c>
      <c r="G8" s="32" t="n">
        <f aca="false">IF($A8="","",SUMIFS(便別集計!$K$3:$K$63,便別集計!$D$3:$D$63,$A8))</f>
        <v>0</v>
      </c>
      <c r="H8" s="32" t="n">
        <f aca="false">IF($A8="","",C8+D8)</f>
        <v>0</v>
      </c>
      <c r="I8" s="32" t="n">
        <f aca="false">IF($A8="","",C8*設定!$B$5+D8*設定!$B$6)</f>
        <v>0</v>
      </c>
    </row>
    <row r="9" customFormat="false" ht="15" hidden="false" customHeight="false" outlineLevel="0" collapsed="false">
      <c r="A9" s="38" t="str">
        <f aca="false">IF(設定!A13="","",設定!A13)</f>
        <v/>
      </c>
      <c r="B9" s="32" t="str">
        <f aca="false">IF($A9="","",SUMIFS(便別集計!$F$3:$F$63,便別集計!$D$3:$D$63,$A9))</f>
        <v/>
      </c>
      <c r="C9" s="32" t="str">
        <f aca="false">IF($A9="","",SUMIFS(便別集計!$G$3:$G$63,便別集計!$D$3:$D$63,$A9))</f>
        <v/>
      </c>
      <c r="D9" s="32" t="str">
        <f aca="false">IF($A9="","",SUMIFS(便別集計!$H$3:$H$63,便別集計!$D$3:$D$63,$A9))</f>
        <v/>
      </c>
      <c r="E9" s="32" t="str">
        <f aca="false">IF($A9="","",SUMIFS(便別集計!$I$3:$I$63,便別集計!$D$3:$D$63,$A9))</f>
        <v/>
      </c>
      <c r="F9" s="32" t="str">
        <f aca="false">IF($A9="","",SUMIFS(便別集計!$J$3:$J$63,便別集計!$D$3:$D$63,$A9))</f>
        <v/>
      </c>
      <c r="G9" s="32" t="str">
        <f aca="false">IF($A9="","",SUMIFS(便別集計!$K$3:$K$63,便別集計!$D$3:$D$63,$A9))</f>
        <v/>
      </c>
      <c r="H9" s="32" t="str">
        <f aca="false">IF($A9="","",C9+D9)</f>
        <v/>
      </c>
      <c r="I9" s="32" t="str">
        <f aca="false">IF($A9="","",C9*設定!$B$5+D9*設定!$B$6)</f>
        <v/>
      </c>
    </row>
    <row r="10" customFormat="false" ht="15" hidden="false" customHeight="false" outlineLevel="0" collapsed="false">
      <c r="A10" s="38" t="str">
        <f aca="false">IF(設定!A14="","",設定!A14)</f>
        <v/>
      </c>
      <c r="B10" s="32" t="str">
        <f aca="false">IF($A10="","",SUMIFS(便別集計!$F$3:$F$63,便別集計!$D$3:$D$63,$A10))</f>
        <v/>
      </c>
      <c r="C10" s="32" t="str">
        <f aca="false">IF($A10="","",SUMIFS(便別集計!$G$3:$G$63,便別集計!$D$3:$D$63,$A10))</f>
        <v/>
      </c>
      <c r="D10" s="32" t="str">
        <f aca="false">IF($A10="","",SUMIFS(便別集計!$H$3:$H$63,便別集計!$D$3:$D$63,$A10))</f>
        <v/>
      </c>
      <c r="E10" s="32" t="str">
        <f aca="false">IF($A10="","",SUMIFS(便別集計!$I$3:$I$63,便別集計!$D$3:$D$63,$A10))</f>
        <v/>
      </c>
      <c r="F10" s="32" t="str">
        <f aca="false">IF($A10="","",SUMIFS(便別集計!$J$3:$J$63,便別集計!$D$3:$D$63,$A10))</f>
        <v/>
      </c>
      <c r="G10" s="32" t="str">
        <f aca="false">IF($A10="","",SUMIFS(便別集計!$K$3:$K$63,便別集計!$D$3:$D$63,$A10))</f>
        <v/>
      </c>
      <c r="H10" s="32" t="str">
        <f aca="false">IF($A10="","",C10+D10)</f>
        <v/>
      </c>
      <c r="I10" s="32" t="str">
        <f aca="false">IF($A10="","",C10*設定!$B$5+D10*設定!$B$6)</f>
        <v/>
      </c>
    </row>
    <row r="11" customFormat="false" ht="15" hidden="false" customHeight="false" outlineLevel="0" collapsed="false">
      <c r="A11" s="38" t="str">
        <f aca="false">IF(設定!A15="","",設定!A15)</f>
        <v/>
      </c>
      <c r="B11" s="32" t="str">
        <f aca="false">IF($A11="","",SUMIFS(便別集計!$F$3:$F$63,便別集計!$D$3:$D$63,$A11))</f>
        <v/>
      </c>
      <c r="C11" s="32" t="str">
        <f aca="false">IF($A11="","",SUMIFS(便別集計!$G$3:$G$63,便別集計!$D$3:$D$63,$A11))</f>
        <v/>
      </c>
      <c r="D11" s="32" t="str">
        <f aca="false">IF($A11="","",SUMIFS(便別集計!$H$3:$H$63,便別集計!$D$3:$D$63,$A11))</f>
        <v/>
      </c>
      <c r="E11" s="32" t="str">
        <f aca="false">IF($A11="","",SUMIFS(便別集計!$I$3:$I$63,便別集計!$D$3:$D$63,$A11))</f>
        <v/>
      </c>
      <c r="F11" s="32" t="str">
        <f aca="false">IF($A11="","",SUMIFS(便別集計!$J$3:$J$63,便別集計!$D$3:$D$63,$A11))</f>
        <v/>
      </c>
      <c r="G11" s="32" t="str">
        <f aca="false">IF($A11="","",SUMIFS(便別集計!$K$3:$K$63,便別集計!$D$3:$D$63,$A11))</f>
        <v/>
      </c>
      <c r="H11" s="32" t="str">
        <f aca="false">IF($A11="","",C11+D11)</f>
        <v/>
      </c>
      <c r="I11" s="32" t="str">
        <f aca="false">IF($A11="","",C11*設定!$B$5+D11*設定!$B$6)</f>
        <v/>
      </c>
    </row>
    <row r="12" customFormat="false" ht="15" hidden="false" customHeight="false" outlineLevel="0" collapsed="false">
      <c r="A12" s="10" t="s">
        <v>63</v>
      </c>
      <c r="B12" s="34" t="n">
        <f aca="false">SUM(B6:B11)</f>
        <v>0</v>
      </c>
      <c r="C12" s="34" t="n">
        <f aca="false">SUM(C6:C11)</f>
        <v>0</v>
      </c>
      <c r="D12" s="34" t="n">
        <f aca="false">SUM(D6:D11)</f>
        <v>0</v>
      </c>
      <c r="E12" s="34" t="n">
        <f aca="false">SUM(E6:E11)</f>
        <v>0</v>
      </c>
      <c r="F12" s="34" t="n">
        <f aca="false">SUM(F6:F11)</f>
        <v>0</v>
      </c>
      <c r="G12" s="34" t="n">
        <f aca="false">SUM(G6:G11)</f>
        <v>0</v>
      </c>
      <c r="H12" s="34" t="n">
        <f aca="false">SUM(H6:H11)</f>
        <v>0</v>
      </c>
      <c r="I12" s="34" t="n">
        <f aca="false">SUM(I6:I11)</f>
        <v>0</v>
      </c>
    </row>
    <row r="14" customFormat="false" ht="15" hidden="false" customHeight="false" outlineLevel="0" collapsed="false">
      <c r="A14" s="10" t="s">
        <v>64</v>
      </c>
      <c r="B14" s="39" t="str">
        <f aca="false">IF(B12=便別集計!F64,"OK：便別集計と一致","要確認：出国港が未入力の便あり")</f>
        <v>OK：便別集計と一致</v>
      </c>
    </row>
    <row r="15" customFormat="false" ht="15" hidden="false" customHeight="false" outlineLevel="0" collapsed="false">
      <c r="B15" s="39" t="str">
        <f aca="false">IF(I12=便別集計!N64,"OK：税額が一致","要確認")</f>
        <v>OK：税額が一致</v>
      </c>
    </row>
    <row r="17" customFormat="false" ht="15" hidden="false" customHeight="false" outlineLevel="0" collapsed="false">
      <c r="A17" s="3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6"/>
    <col collapsed="false" customWidth="true" hidden="false" outlineLevel="0" max="3" min="3" style="1" width="22"/>
  </cols>
  <sheetData>
    <row r="1" customFormat="false" ht="162.65" hidden="false" customHeight="false" outlineLevel="0" collapsed="false">
      <c r="A1" s="9" t="s">
        <v>66</v>
      </c>
    </row>
    <row r="3" customFormat="false" ht="29.85" hidden="false" customHeight="false" outlineLevel="0" collapsed="false">
      <c r="A3" s="18" t="s">
        <v>67</v>
      </c>
      <c r="B3" s="18" t="s">
        <v>68</v>
      </c>
      <c r="C3" s="18" t="s">
        <v>69</v>
      </c>
    </row>
    <row r="4" customFormat="false" ht="15" hidden="false" customHeight="false" outlineLevel="0" collapsed="false">
      <c r="A4" s="28" t="s">
        <v>70</v>
      </c>
      <c r="B4" s="40" t="s">
        <v>71</v>
      </c>
      <c r="C4" s="33"/>
    </row>
    <row r="5" customFormat="false" ht="15" hidden="false" customHeight="false" outlineLevel="0" collapsed="false">
      <c r="A5" s="28" t="s">
        <v>70</v>
      </c>
      <c r="B5" s="41" t="s">
        <v>72</v>
      </c>
      <c r="C5" s="33"/>
    </row>
    <row r="6" customFormat="false" ht="15" hidden="false" customHeight="false" outlineLevel="0" collapsed="false">
      <c r="A6" s="28" t="s">
        <v>70</v>
      </c>
      <c r="B6" s="40" t="s">
        <v>73</v>
      </c>
      <c r="C6" s="33"/>
    </row>
    <row r="7" customFormat="false" ht="15" hidden="false" customHeight="false" outlineLevel="0" collapsed="false">
      <c r="A7" s="28" t="s">
        <v>70</v>
      </c>
      <c r="B7" s="40" t="s">
        <v>74</v>
      </c>
      <c r="C7" s="33"/>
    </row>
    <row r="8" customFormat="false" ht="15" hidden="false" customHeight="false" outlineLevel="0" collapsed="false">
      <c r="A8" s="28" t="s">
        <v>70</v>
      </c>
      <c r="B8" s="40" t="s">
        <v>75</v>
      </c>
      <c r="C8" s="33"/>
    </row>
    <row r="9" customFormat="false" ht="15" hidden="false" customHeight="false" outlineLevel="0" collapsed="false">
      <c r="A9" s="28" t="s">
        <v>70</v>
      </c>
      <c r="B9" s="40" t="s">
        <v>76</v>
      </c>
      <c r="C9" s="33"/>
    </row>
    <row r="10" customFormat="false" ht="15" hidden="false" customHeight="false" outlineLevel="0" collapsed="false">
      <c r="A10" s="28" t="s">
        <v>70</v>
      </c>
      <c r="B10" s="40" t="s">
        <v>77</v>
      </c>
      <c r="C10" s="33"/>
    </row>
    <row r="11" customFormat="false" ht="15" hidden="false" customHeight="false" outlineLevel="0" collapsed="false">
      <c r="A11" s="28" t="s">
        <v>70</v>
      </c>
      <c r="B11" s="40" t="s">
        <v>78</v>
      </c>
      <c r="C11" s="33"/>
    </row>
    <row r="12" customFormat="false" ht="15" hidden="false" customHeight="false" outlineLevel="0" collapsed="false">
      <c r="A12" s="28" t="s">
        <v>70</v>
      </c>
      <c r="B12" s="40" t="s">
        <v>79</v>
      </c>
      <c r="C12" s="33"/>
    </row>
    <row r="13" customFormat="false" ht="15" hidden="false" customHeight="false" outlineLevel="0" collapsed="false">
      <c r="A13" s="28" t="s">
        <v>70</v>
      </c>
      <c r="B13" s="40" t="s">
        <v>80</v>
      </c>
      <c r="C13" s="33"/>
    </row>
    <row r="14" customFormat="false" ht="15" hidden="false" customHeight="false" outlineLevel="0" collapsed="false">
      <c r="A14" s="28" t="s">
        <v>70</v>
      </c>
      <c r="B14" s="40" t="s">
        <v>81</v>
      </c>
      <c r="C14" s="33"/>
    </row>
  </sheetData>
  <dataValidations count="1">
    <dataValidation allowBlank="true" errorStyle="stop" operator="between" showDropDown="false" showErrorMessage="false" showInputMessage="false" sqref="A4:A14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2026-09-26T06:11:24Z</dcterms:created>
  <dc:creator>openpyxl</dc:creator>
  <dc:description/>
  <dc:language>en-US</dc:language>
  <cp:lastModifiedBy/>
  <dcterms:modified xsi:type="dcterms:W3CDTF">2026-09-26T06:11:24Z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